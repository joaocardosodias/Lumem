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C 12 me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<sst xmlns="http://schemas.openxmlformats.org/spreadsheetml/2006/main" count="62" uniqueCount="61">
  <si>
    <t xml:space="preserve">Custo da Prova de Conceito — 12 meses</t>
  </si>
  <si>
    <t xml:space="preserve">Motiva · Sistema de Manutenção Preditiva das Portas de Plataforma (PSD) · Inteli</t>
  </si>
  <si>
    <t xml:space="preserve">Horizonte: 12 meses. Valores em reais. Cotação de referência: US$ 1 = R$ 5,10 (09/09/2026).</t>
  </si>
  <si>
    <t xml:space="preserve">Amarelo = premissa de entrada (editável)</t>
  </si>
  <si>
    <t xml:space="preserve">Cinza = calculado por fórmula (não editar)</t>
  </si>
  <si>
    <t xml:space="preserve">1. Premissas de esforço do grupo</t>
  </si>
  <si>
    <t xml:space="preserve">Integrantes do grupo</t>
  </si>
  <si>
    <t xml:space="preserve">alunos</t>
  </si>
  <si>
    <t xml:space="preserve">Duração do módulo</t>
  </si>
  <si>
    <t xml:space="preserve">semanas</t>
  </si>
  <si>
    <t xml:space="preserve">Dias úteis por semana</t>
  </si>
  <si>
    <t xml:space="preserve">dias</t>
  </si>
  <si>
    <t xml:space="preserve">Dedicação por aluno por dia útil</t>
  </si>
  <si>
    <t xml:space="preserve">horas</t>
  </si>
  <si>
    <t xml:space="preserve">Total de horas de desenvolvimento</t>
  </si>
  <si>
    <t xml:space="preserve">Salário de referência — dev Full-Stack Júnior</t>
  </si>
  <si>
    <t xml:space="preserve">R$/mês</t>
  </si>
  <si>
    <t xml:space="preserve">Ponto médio da faixa R$ 6.050–8.750 · Guia Salarial 2026 Robert Half</t>
  </si>
  <si>
    <t xml:space="preserve">Horas mensais de referência</t>
  </si>
  <si>
    <t xml:space="preserve">horas/mês</t>
  </si>
  <si>
    <t xml:space="preserve">Valor da hora</t>
  </si>
  <si>
    <t xml:space="preserve">R$/hora</t>
  </si>
  <si>
    <t xml:space="preserve">Arredondado para o inteiro, mantendo consistência com a documentação</t>
  </si>
  <si>
    <t xml:space="preserve">O nível júnior foi adotado por representar o estágio dos integrantes, evitando superestimar o valor do trabalho acadêmico.</t>
  </si>
  <si>
    <t xml:space="preserve">2. Custo de mercado equivalente e custo incremental</t>
  </si>
  <si>
    <t xml:space="preserve">Item</t>
  </si>
  <si>
    <t xml:space="preserve">Custo de mercado</t>
  </si>
  <si>
    <t xml:space="preserve">Custo incremental</t>
  </si>
  <si>
    <t xml:space="preserve">Origem do valor</t>
  </si>
  <si>
    <t xml:space="preserve">Desenvolvimento da POC</t>
  </si>
  <si>
    <t xml:space="preserve">Horas do grupo × valor da hora (seção 1)</t>
  </si>
  <si>
    <t xml:space="preserve">Ambiente Red Hat/OpenShift</t>
  </si>
  <si>
    <t xml:space="preserve">Cluster ROSA mínimo de não-produção — ver planilha 2</t>
  </si>
  <si>
    <t xml:space="preserve">Banco de dados Azure SQL</t>
  </si>
  <si>
    <t xml:space="preserve">Compute serverless de desenvolvimento — ver planilha 2</t>
  </si>
  <si>
    <t xml:space="preserve">Docker e bibliotecas open source</t>
  </si>
  <si>
    <t xml:space="preserve">Licenciamento gratuito</t>
  </si>
  <si>
    <t xml:space="preserve">Hardware de execução</t>
  </si>
  <si>
    <t xml:space="preserve">Equipamento já disponível — não precificado</t>
  </si>
  <si>
    <t xml:space="preserve">Atualização de dados e validação</t>
  </si>
  <si>
    <t xml:space="preserve">Rotina já executada pela Motiva</t>
  </si>
  <si>
    <t xml:space="preserve">TOTAL DA POC EM 12 MESES</t>
  </si>
  <si>
    <t xml:space="preserve">3. Condições que sustentam o custo incremental zero</t>
  </si>
  <si>
    <t xml:space="preserve">1. Desenvolvimento realizado pelo grupo do Inteli, sem remuneração associada ao projeto.</t>
  </si>
  <si>
    <t xml:space="preserve">2. Red Hat Developer Sandbox nos primeiros 30 dias e OpenShift Local em hardware já disponível nos 11 meses seguintes.</t>
  </si>
  <si>
    <t xml:space="preserve">3. Azure SQL Database dentro da camada gratuita: 100.000 vCore-segundos, 32 GB de dados e 32 GB de backup por mês.</t>
  </si>
  <si>
    <t xml:space="preserve">4. Atualização de dados e validação operacional já integram a rotina de profissionais contratados pela Motiva.</t>
  </si>
  <si>
    <t xml:space="preserve">4. Contingência por gatilhos de revisão</t>
  </si>
  <si>
    <t xml:space="preserve">Como o custo-base é zero, margens percentuais resultariam em zero. A contingência é tratada por gatilhos.</t>
  </si>
  <si>
    <t xml:space="preserve">Gatilho</t>
  </si>
  <si>
    <t xml:space="preserve">Impacto estimado</t>
  </si>
  <si>
    <t xml:space="preserve">Referência</t>
  </si>
  <si>
    <t xml:space="preserve">Hardware não suporta o OpenShift Local</t>
  </si>
  <si>
    <t xml:space="preserve">Migração para cluster ROSA mínimo</t>
  </si>
  <si>
    <t xml:space="preserve">Volume ultrapassa a camada gratuita do Azure SQL</t>
  </si>
  <si>
    <t xml:space="preserve">Compute serverless por 12 meses</t>
  </si>
  <si>
    <t xml:space="preserve">Necessidade de publicar o frontend durante a POC</t>
  </si>
  <si>
    <t xml:space="preserve">Vercel Pro, 1 assento, 12 meses</t>
  </si>
  <si>
    <t xml:space="preserve">Pior caso quantificado</t>
  </si>
  <si>
    <t xml:space="preserve">Gatilhos sem valor apurado: serviço externo de observabilidade, contratação de profissional,</t>
  </si>
  <si>
    <t xml:space="preserve">pagamento de horas extras, compra de hardware.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</si>
</sst>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R$ &quot;#,##0;&quot;(R$ &quot;#,##0\);\-"/>
    <numFmt numFmtId="167" formatCode="&quot;R$ &quot;#,##0.00;&quot;(R$ 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1B4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A6"/>
        <bgColor rgb="FFF2F1F5"/>
      </patternFill>
    </fill>
    <fill>
      <patternFill patternType="solid">
        <fgColor rgb="FFF2F1F5"/>
        <bgColor rgb="FFFFFFFF"/>
      </patternFill>
    </fill>
    <fill>
      <patternFill patternType="solid">
        <fgColor rgb="FF241B42"/>
        <bgColor rgb="FF003366"/>
      </patternFill>
    </fill>
    <fill>
      <patternFill patternType="solid">
        <fgColor rgb="FF4A3F6B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1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A3F6B"/>
      <rgbColor rgb="FF241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20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8" customFormat="false" ht="15" hidden="false" customHeight="false" outlineLevel="0" collapsed="false">
      <c r="A8" s="5" t="s">
        <v>5</v>
      </c>
      <c r="B8" s="5"/>
      <c r="C8" s="5"/>
      <c r="D8" s="5"/>
    </row>
    <row r="9" customFormat="false" ht="15" hidden="false" customHeight="false" outlineLevel="0" collapsed="false">
      <c r="A9" s="6" t="s">
        <v>6</v>
      </c>
      <c r="B9" s="7" t="n">
        <v>7</v>
      </c>
      <c r="C9" s="8" t="s">
        <v>7</v>
      </c>
    </row>
    <row r="10" customFormat="false" ht="15" hidden="false" customHeight="false" outlineLevel="0" collapsed="false">
      <c r="A10" s="6" t="s">
        <v>8</v>
      </c>
      <c r="B10" s="7" t="n">
        <v>10</v>
      </c>
      <c r="C10" s="8" t="s">
        <v>9</v>
      </c>
    </row>
    <row r="11" customFormat="false" ht="15" hidden="false" customHeight="false" outlineLevel="0" collapsed="false">
      <c r="A11" s="6" t="s">
        <v>10</v>
      </c>
      <c r="B11" s="7" t="n">
        <v>5</v>
      </c>
      <c r="C11" s="8" t="s">
        <v>11</v>
      </c>
    </row>
    <row r="12" customFormat="false" ht="15" hidden="false" customHeight="false" outlineLevel="0" collapsed="false">
      <c r="A12" s="6" t="s">
        <v>12</v>
      </c>
      <c r="B12" s="7" t="n">
        <v>2</v>
      </c>
      <c r="C12" s="8" t="s">
        <v>13</v>
      </c>
    </row>
    <row r="13" customFormat="false" ht="15" hidden="false" customHeight="false" outlineLevel="0" collapsed="false">
      <c r="A13" s="9" t="s">
        <v>14</v>
      </c>
      <c r="B13" s="10" t="n">
        <f aca="false">B9*B10*B11*B12</f>
        <v>700</v>
      </c>
      <c r="C13" s="8" t="s">
        <v>13</v>
      </c>
    </row>
    <row r="15" customFormat="false" ht="15" hidden="false" customHeight="false" outlineLevel="0" collapsed="false">
      <c r="A15" s="6" t="s">
        <v>15</v>
      </c>
      <c r="B15" s="11" t="n">
        <v>7400</v>
      </c>
      <c r="C15" s="8" t="s">
        <v>16</v>
      </c>
      <c r="D15" s="2" t="s">
        <v>17</v>
      </c>
    </row>
    <row r="16" customFormat="false" ht="15" hidden="false" customHeight="false" outlineLevel="0" collapsed="false">
      <c r="A16" s="6" t="s">
        <v>18</v>
      </c>
      <c r="B16" s="7" t="n">
        <v>176</v>
      </c>
      <c r="C16" s="8" t="s">
        <v>19</v>
      </c>
    </row>
    <row r="17" customFormat="false" ht="15" hidden="false" customHeight="false" outlineLevel="0" collapsed="false">
      <c r="A17" s="9" t="s">
        <v>20</v>
      </c>
      <c r="B17" s="12" t="n">
        <f aca="false">ROUND(B15/B16,0)</f>
        <v>42</v>
      </c>
      <c r="C17" s="8" t="s">
        <v>21</v>
      </c>
      <c r="D17" s="2" t="s">
        <v>22</v>
      </c>
    </row>
    <row r="19" customFormat="false" ht="15" hidden="false" customHeight="false" outlineLevel="0" collapsed="false">
      <c r="A19" s="2" t="s">
        <v>23</v>
      </c>
    </row>
    <row r="22" customFormat="false" ht="15" hidden="false" customHeight="false" outlineLevel="0" collapsed="false">
      <c r="A22" s="5" t="s">
        <v>24</v>
      </c>
      <c r="B22" s="5"/>
      <c r="C22" s="5"/>
      <c r="D22" s="5"/>
    </row>
    <row r="23" customFormat="false" ht="15" hidden="false" customHeight="false" outlineLevel="0" collapsed="false">
      <c r="A23" s="13" t="s">
        <v>25</v>
      </c>
      <c r="B23" s="13" t="s">
        <v>26</v>
      </c>
      <c r="C23" s="13" t="s">
        <v>27</v>
      </c>
      <c r="D23" s="13" t="s">
        <v>28</v>
      </c>
    </row>
    <row r="24" customFormat="false" ht="15" hidden="false" customHeight="false" outlineLevel="0" collapsed="false">
      <c r="A24" s="6" t="s">
        <v>29</v>
      </c>
      <c r="B24" s="14" t="n">
        <f aca="false">B13*B17</f>
        <v>29400</v>
      </c>
      <c r="C24" s="15" t="n">
        <v>0</v>
      </c>
      <c r="D24" s="2" t="s">
        <v>30</v>
      </c>
    </row>
    <row r="25" customFormat="false" ht="15" hidden="false" customHeight="false" outlineLevel="0" collapsed="false">
      <c r="A25" s="6" t="s">
        <v>31</v>
      </c>
      <c r="B25" s="15" t="n">
        <v>45503.73</v>
      </c>
      <c r="C25" s="15" t="n">
        <v>0</v>
      </c>
      <c r="D25" s="2" t="s">
        <v>32</v>
      </c>
    </row>
    <row r="26" customFormat="false" ht="15" hidden="false" customHeight="false" outlineLevel="0" collapsed="false">
      <c r="A26" s="6" t="s">
        <v>33</v>
      </c>
      <c r="B26" s="15" t="n">
        <v>3060</v>
      </c>
      <c r="C26" s="15" t="n">
        <v>0</v>
      </c>
      <c r="D26" s="2" t="s">
        <v>34</v>
      </c>
    </row>
    <row r="27" customFormat="false" ht="15" hidden="false" customHeight="false" outlineLevel="0" collapsed="false">
      <c r="A27" s="6" t="s">
        <v>35</v>
      </c>
      <c r="B27" s="15" t="n">
        <v>0</v>
      </c>
      <c r="C27" s="15" t="n">
        <v>0</v>
      </c>
      <c r="D27" s="2" t="s">
        <v>36</v>
      </c>
    </row>
    <row r="28" customFormat="false" ht="15" hidden="false" customHeight="false" outlineLevel="0" collapsed="false">
      <c r="A28" s="6" t="s">
        <v>37</v>
      </c>
      <c r="B28" s="15" t="n">
        <v>0</v>
      </c>
      <c r="C28" s="15" t="n">
        <v>0</v>
      </c>
      <c r="D28" s="2" t="s">
        <v>38</v>
      </c>
    </row>
    <row r="29" customFormat="false" ht="15" hidden="false" customHeight="false" outlineLevel="0" collapsed="false">
      <c r="A29" s="6" t="s">
        <v>39</v>
      </c>
      <c r="B29" s="15" t="n">
        <v>0</v>
      </c>
      <c r="C29" s="15" t="n">
        <v>0</v>
      </c>
      <c r="D29" s="2" t="s">
        <v>40</v>
      </c>
    </row>
    <row r="30" customFormat="false" ht="15" hidden="false" customHeight="false" outlineLevel="0" collapsed="false">
      <c r="A30" s="9" t="s">
        <v>41</v>
      </c>
      <c r="B30" s="12" t="n">
        <f aca="false">SUM(B24:B29)</f>
        <v>77963.73</v>
      </c>
      <c r="C30" s="12" t="n">
        <f aca="false">SUM(C24:C29)</f>
        <v>0</v>
      </c>
    </row>
    <row r="32" customFormat="false" ht="15" hidden="false" customHeight="false" outlineLevel="0" collapsed="false">
      <c r="A32" s="5" t="s">
        <v>42</v>
      </c>
      <c r="B32" s="5"/>
      <c r="C32" s="5"/>
      <c r="D32" s="5"/>
    </row>
    <row r="33" customFormat="false" ht="15" hidden="false" customHeight="false" outlineLevel="0" collapsed="false">
      <c r="A33" s="2" t="s">
        <v>43</v>
      </c>
    </row>
    <row r="34" customFormat="false" ht="15" hidden="false" customHeight="false" outlineLevel="0" collapsed="false">
      <c r="A34" s="2" t="s">
        <v>44</v>
      </c>
    </row>
    <row r="35" customFormat="false" ht="15" hidden="false" customHeight="false" outlineLevel="0" collapsed="false">
      <c r="A35" s="2" t="s">
        <v>45</v>
      </c>
    </row>
    <row r="36" customFormat="false" ht="15" hidden="false" customHeight="false" outlineLevel="0" collapsed="false">
      <c r="A36" s="2" t="s">
        <v>46</v>
      </c>
    </row>
    <row r="39" customFormat="false" ht="15" hidden="false" customHeight="false" outlineLevel="0" collapsed="false">
      <c r="A39" s="5" t="s">
        <v>47</v>
      </c>
      <c r="B39" s="5"/>
      <c r="C39" s="5"/>
      <c r="D39" s="5"/>
    </row>
    <row r="40" customFormat="false" ht="15" hidden="false" customHeight="false" outlineLevel="0" collapsed="false">
      <c r="A40" s="2" t="s">
        <v>48</v>
      </c>
    </row>
    <row r="41" customFormat="false" ht="15" hidden="false" customHeight="false" outlineLevel="0" collapsed="false">
      <c r="A41" s="13" t="s">
        <v>49</v>
      </c>
      <c r="B41" s="13" t="s">
        <v>50</v>
      </c>
      <c r="C41" s="13"/>
      <c r="D41" s="13" t="s">
        <v>51</v>
      </c>
    </row>
    <row r="42" customFormat="false" ht="15" hidden="false" customHeight="false" outlineLevel="0" collapsed="false">
      <c r="A42" s="6" t="s">
        <v>52</v>
      </c>
      <c r="B42" s="15" t="n">
        <v>45503.73</v>
      </c>
      <c r="D42" s="2" t="s">
        <v>53</v>
      </c>
    </row>
    <row r="43" customFormat="false" ht="15" hidden="false" customHeight="false" outlineLevel="0" collapsed="false">
      <c r="A43" s="6" t="s">
        <v>54</v>
      </c>
      <c r="B43" s="15" t="n">
        <v>3060</v>
      </c>
      <c r="D43" s="2" t="s">
        <v>55</v>
      </c>
    </row>
    <row r="44" customFormat="false" ht="15" hidden="false" customHeight="false" outlineLevel="0" collapsed="false">
      <c r="A44" s="6" t="s">
        <v>56</v>
      </c>
      <c r="B44" s="15" t="n">
        <v>1224</v>
      </c>
      <c r="D44" s="2" t="s">
        <v>57</v>
      </c>
    </row>
    <row r="45" customFormat="false" ht="15" hidden="false" customHeight="false" outlineLevel="0" collapsed="false">
      <c r="A45" s="9" t="s">
        <v>58</v>
      </c>
      <c r="B45" s="12" t="n">
        <f aca="false">SUM(B42:B44)</f>
        <v>49787.73</v>
      </c>
    </row>
    <row r="47" customFormat="false" ht="15" hidden="false" customHeight="false" outlineLevel="0" collapsed="false">
      <c r="A47" s="2" t="s">
        <v>59</v>
      </c>
    </row>
    <row r="48" customFormat="false" ht="15" hidden="false" customHeight="false" outlineLevel="0" collapsed="false">
      <c r="A48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2026-09-11T14:33:24Z</dcterms:created>
  <dc:creator>openpyxl</dc:creator>
  <dc:description/>
  <dc:language>en-US</dc:language>
  <cp:lastModifiedBy/>
  <dcterms:modified xsi:type="dcterms:W3CDTF">2026-09-11T14:33:24Z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