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missas" sheetId="1" state="visible" r:id="rId3"/>
    <sheet name="Orçamento" sheetId="2" state="visible" r:id="rId4"/>
    <sheet name="Cronograma" sheetId="3" state="visible" r:id="rId5"/>
    <sheet name="Cenário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<sst xmlns="http://schemas.openxmlformats.org/spreadsheetml/2006/main" count="154" uniqueCount="135">
  <si>
    <t xml:space="preserve">Projeto Implementado — Premissas e Fontes</t>
  </si>
  <si>
    <t xml:space="preserve">Motiva · Manutenção Preditiva das PSD · Horizonte de 12 meses</t>
  </si>
  <si>
    <t xml:space="preserve">Todas as premissas desta aba alimentam as demais. Alterar aqui recalcula o modelo inteiro.</t>
  </si>
  <si>
    <t xml:space="preserve">Amarelo = premissa de entrada (editável)</t>
  </si>
  <si>
    <t xml:space="preserve">Cinza = calculado por fórmula (não editar)</t>
  </si>
  <si>
    <t xml:space="preserve">Câmbio</t>
  </si>
  <si>
    <t xml:space="preserve">Cotação do dólar comercial</t>
  </si>
  <si>
    <t xml:space="preserve">R$/US$</t>
  </si>
  <si>
    <t xml:space="preserve">Cotação comercial de mercado · consultada em 09/09/2026</t>
  </si>
  <si>
    <t xml:space="preserve">Mão de obra</t>
  </si>
  <si>
    <t xml:space="preserve">Salário dev Full-Stack Pleno</t>
  </si>
  <si>
    <t xml:space="preserve">R$/mês</t>
  </si>
  <si>
    <t xml:space="preserve">Faixa R$ 9.550–15.900 · Guia Salarial 2026 Robert Half</t>
  </si>
  <si>
    <t xml:space="preserve">Número de desenvolvedores</t>
  </si>
  <si>
    <t xml:space="preserve">pessoas</t>
  </si>
  <si>
    <t xml:space="preserve">Duração do aprimoramento</t>
  </si>
  <si>
    <t xml:space="preserve">meses</t>
  </si>
  <si>
    <t xml:space="preserve">3 semanas ÷ 4,33 ≈ 0,69, arredondado para 0,75 como margem</t>
  </si>
  <si>
    <t xml:space="preserve">Fator de encargos CLT</t>
  </si>
  <si>
    <t xml:space="preserve">× salário</t>
  </si>
  <si>
    <t xml:space="preserve">INSS patronal 20%, FGTS 8%, RAT, Sistema S, 13º e férias · Lucro Presumido/Real</t>
  </si>
  <si>
    <t xml:space="preserve">Valor da hora de sustentação</t>
  </si>
  <si>
    <t xml:space="preserve">R$/hora</t>
  </si>
  <si>
    <t xml:space="preserve">R$ 12.000 ÷ 176 h ≈ R$ 68, arredondado pelo caráter pontual</t>
  </si>
  <si>
    <t xml:space="preserve">Horas de sustentação por mês</t>
  </si>
  <si>
    <t xml:space="preserve">horas/mês</t>
  </si>
  <si>
    <t xml:space="preserve">Infraestrutura — preços públicos</t>
  </si>
  <si>
    <t xml:space="preserve">Vercel Pro</t>
  </si>
  <si>
    <t xml:space="preserve">US$/mês</t>
  </si>
  <si>
    <t xml:space="preserve">Preço por membro · página oficial de planos da Vercel</t>
  </si>
  <si>
    <t xml:space="preserve">Assentos Vercel</t>
  </si>
  <si>
    <t xml:space="preserve">membros</t>
  </si>
  <si>
    <t xml:space="preserve">ROSA — taxa de cluster</t>
  </si>
  <si>
    <t xml:space="preserve">US$/ano</t>
  </si>
  <si>
    <t xml:space="preserve">US$ 0,03/hora · preços públicos Red Hat OpenShift Service on AWS</t>
  </si>
  <si>
    <t xml:space="preserve">ROSA — worker node 4 vCPU</t>
  </si>
  <si>
    <t xml:space="preserve">US$ 0,114 por 4vCPU/hora · reserva de 1 ano</t>
  </si>
  <si>
    <t xml:space="preserve">Reserva Azure SQL Database</t>
  </si>
  <si>
    <t xml:space="preserve">≈ 47 vCore-horas/mês além do limite gratuito a US$ 0,5218/vCore-hora</t>
  </si>
  <si>
    <t xml:space="preserve">Escala</t>
  </si>
  <si>
    <t xml:space="preserve">Portas de plataforma monitoradas</t>
  </si>
  <si>
    <t xml:space="preserve">portas</t>
  </si>
  <si>
    <t xml:space="preserve">Informado pela Motiva</t>
  </si>
  <si>
    <t xml:space="preserve">Margens de contingência</t>
  </si>
  <si>
    <t xml:space="preserve">Cenário conservador</t>
  </si>
  <si>
    <t xml:space="preserve">sobre a base</t>
  </si>
  <si>
    <t xml:space="preserve">Cenário pior caso</t>
  </si>
  <si>
    <t xml:space="preserve">Projeto Implementado — Orçamento de 12 meses</t>
  </si>
  <si>
    <t xml:space="preserve">Todos os valores são calculados a partir da aba Premissas.</t>
  </si>
  <si>
    <t xml:space="preserve">1. CAPEX — investimento inicial</t>
  </si>
  <si>
    <t xml:space="preserve">Item</t>
  </si>
  <si>
    <t xml:space="preserve">Valor</t>
  </si>
  <si>
    <t xml:space="preserve">Cálculo</t>
  </si>
  <si>
    <t xml:space="preserve">Aprimoramento e implantação (regime PJ)</t>
  </si>
  <si>
    <t xml:space="preserve">Salário × 0,75 mês × 2 desenvolvedores</t>
  </si>
  <si>
    <t xml:space="preserve">TOTAL CAPEX</t>
  </si>
  <si>
    <t xml:space="preserve">2. OPEX anual — custos fixos</t>
  </si>
  <si>
    <t xml:space="preserve">Valor anual</t>
  </si>
  <si>
    <t xml:space="preserve">US$/mês × assentos × 12 × câmbio</t>
  </si>
  <si>
    <t xml:space="preserve">Red Hat OpenShift (cluster + 1 node)</t>
  </si>
  <si>
    <t xml:space="preserve">(US$ 263 + US$ 998) × câmbio</t>
  </si>
  <si>
    <t xml:space="preserve">Sustentação da aplicação</t>
  </si>
  <si>
    <t xml:space="preserve">Valor-hora × horas/mês × 12</t>
  </si>
  <si>
    <t xml:space="preserve">TOTAL OPEX FIXO</t>
  </si>
  <si>
    <t xml:space="preserve">3. OPEX anual — custos variáveis</t>
  </si>
  <si>
    <t xml:space="preserve">Por porta</t>
  </si>
  <si>
    <t xml:space="preserve">US$/mês × 12 × câmbio</t>
  </si>
  <si>
    <t xml:space="preserve">TOTAL OPEX VARIÁVEL</t>
  </si>
  <si>
    <t xml:space="preserve">4. Itens avaliados sem custo incremental</t>
  </si>
  <si>
    <t xml:space="preserve">Justificativa</t>
  </si>
  <si>
    <t xml:space="preserve">Atualização e disponibilização dos dados</t>
  </si>
  <si>
    <t xml:space="preserve">Rotina já executada por equipe contratada</t>
  </si>
  <si>
    <t xml:space="preserve">Validação operacional das previsões</t>
  </si>
  <si>
    <t xml:space="preserve">Extensão de informações já analisadas</t>
  </si>
  <si>
    <t xml:space="preserve">Docker e bibliotecas open source</t>
  </si>
  <si>
    <t xml:space="preserve">Licenciamento gratuito</t>
  </si>
  <si>
    <t xml:space="preserve">Adequação à LGPD</t>
  </si>
  <si>
    <t xml:space="preserve">Dados operacionais de equipamento, sem dados pessoais</t>
  </si>
  <si>
    <t xml:space="preserve">Segurança e controle de acesso</t>
  </si>
  <si>
    <t xml:space="preserve">Controles nativos do Azure e do OpenShift</t>
  </si>
  <si>
    <t xml:space="preserve">Integração com sistemas de origem</t>
  </si>
  <si>
    <t xml:space="preserve">Consome dados já extraídos pela operação</t>
  </si>
  <si>
    <t xml:space="preserve">5. Consolidação</t>
  </si>
  <si>
    <t xml:space="preserve">Categoria</t>
  </si>
  <si>
    <t xml:space="preserve">Participação</t>
  </si>
  <si>
    <t xml:space="preserve">CAPEX — investimento inicial</t>
  </si>
  <si>
    <t xml:space="preserve">OPEX fixo anual</t>
  </si>
  <si>
    <t xml:space="preserve">OPEX variável anual</t>
  </si>
  <si>
    <t xml:space="preserve">OPEX total anual</t>
  </si>
  <si>
    <t xml:space="preserve">CUSTO TOTAL DO ANO 1</t>
  </si>
  <si>
    <t xml:space="preserve">Custo recorrente a partir do ano 2</t>
  </si>
  <si>
    <t xml:space="preserve">O CAPEX não se repete</t>
  </si>
  <si>
    <t xml:space="preserve">Cronograma de Desembolso — 12 meses</t>
  </si>
  <si>
    <t xml:space="preserve">Assinaturas e reserva diluídas linearmente. CAPEX concentrado no mês 1.</t>
  </si>
  <si>
    <t xml:space="preserve">Mês</t>
  </si>
  <si>
    <t xml:space="preserve">CAPEX</t>
  </si>
  <si>
    <t xml:space="preserve">Vercel</t>
  </si>
  <si>
    <t xml:space="preserve">Red Hat</t>
  </si>
  <si>
    <t xml:space="preserve">Azure SQL</t>
  </si>
  <si>
    <t xml:space="preserve">Sustentação</t>
  </si>
  <si>
    <t xml:space="preserve">Total do mês</t>
  </si>
  <si>
    <t xml:space="preserve">Acumulado</t>
  </si>
  <si>
    <t xml:space="preserve">Concentração do desembolso</t>
  </si>
  <si>
    <t xml:space="preserve">Mês 1</t>
  </si>
  <si>
    <t xml:space="preserve">Meses 2 a 12</t>
  </si>
  <si>
    <t xml:space="preserve">Custo mensal a partir do mês 2</t>
  </si>
  <si>
    <t xml:space="preserve">Cenários de Contingência e Sensibilidade</t>
  </si>
  <si>
    <t xml:space="preserve">1. Margens percentuais</t>
  </si>
  <si>
    <t xml:space="preserve">Cenário</t>
  </si>
  <si>
    <t xml:space="preserve">Custo em 12 meses</t>
  </si>
  <si>
    <t xml:space="preserve">Variação</t>
  </si>
  <si>
    <t xml:space="preserve">Critério</t>
  </si>
  <si>
    <t xml:space="preserve">Base</t>
  </si>
  <si>
    <t xml:space="preserve">Estimativa central do escopo atual</t>
  </si>
  <si>
    <t xml:space="preserve">Conservador</t>
  </si>
  <si>
    <t xml:space="preserve">Base acrescida da margem conservadora</t>
  </si>
  <si>
    <t xml:space="preserve">Pior caso</t>
  </si>
  <si>
    <t xml:space="preserve">Base acrescida da margem de pior caso</t>
  </si>
  <si>
    <t xml:space="preserve">2. Regime de contratação da mão de obra</t>
  </si>
  <si>
    <t xml:space="preserve">Regime PJ (base)</t>
  </si>
  <si>
    <t xml:space="preserve">Regime CLT</t>
  </si>
  <si>
    <t xml:space="preserve">CAPEX — aprimoramento</t>
  </si>
  <si>
    <t xml:space="preserve">CLT: salário × fator de encargos</t>
  </si>
  <si>
    <t xml:space="preserve">TOTAL EM 12 MESES</t>
  </si>
  <si>
    <t xml:space="preserve">Diferença</t>
  </si>
  <si>
    <t xml:space="preserve">Encargos patronais e provisões sobre a mesma remuneração bruta</t>
  </si>
  <si>
    <t xml:space="preserve">3. Sensibilidade cambial</t>
  </si>
  <si>
    <t xml:space="preserve">Vercel e Red Hat são denominados em dólar. A reserva do Azure também acompanha o câmbio.</t>
  </si>
  <si>
    <t xml:space="preserve">Cotação (R$/US$)</t>
  </si>
  <si>
    <t xml:space="preserve">Parcela em dólar</t>
  </si>
  <si>
    <t xml:space="preserve">Custo total ano 1</t>
  </si>
  <si>
    <t xml:space="preserve">Variação sobre a base</t>
  </si>
  <si>
    <t xml:space="preserve">4. Resumo</t>
  </si>
  <si>
    <t xml:space="preserve">Base — PJ, dólar na cotação de referência</t>
  </si>
  <si>
    <t xml:space="preserve">Contratação CLT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</si>
</sst>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R$ &quot;#,##0.00;&quot;(R$ &quot;#,##0.00\);\-"/>
    <numFmt numFmtId="166" formatCode="&quot;R$ &quot;#,##0;&quot;(R$ &quot;#,##0\);\-"/>
    <numFmt numFmtId="167" formatCode="#,##0"/>
    <numFmt numFmtId="168" formatCode="#,##0.00"/>
    <numFmt numFmtId="169" formatCode="&quot;US$ &quot;#,##0.00"/>
    <numFmt numFmtId="170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41B42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9"/>
      <color rgb="FF0000FF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A6"/>
        <bgColor rgb="FFF2F1F5"/>
      </patternFill>
    </fill>
    <fill>
      <patternFill patternType="solid">
        <fgColor rgb="FFF2F1F5"/>
        <bgColor rgb="FFFFFFFF"/>
      </patternFill>
    </fill>
    <fill>
      <patternFill patternType="solid">
        <fgColor rgb="FF241B42"/>
        <bgColor rgb="FF003366"/>
      </patternFill>
    </fill>
    <fill>
      <patternFill patternType="solid">
        <fgColor rgb="FF4A3F6B"/>
        <bgColor rgb="FF59595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2F1F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4A3F6B"/>
      <rgbColor rgb="FF241B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4" t="s">
        <v>4</v>
      </c>
    </row>
    <row r="8" customFormat="false" ht="15" hidden="false" customHeight="false" outlineLevel="0" collapsed="false">
      <c r="A8" s="5" t="s">
        <v>5</v>
      </c>
      <c r="B8" s="5"/>
      <c r="C8" s="5"/>
      <c r="D8" s="5"/>
    </row>
    <row r="9" customFormat="false" ht="15" hidden="false" customHeight="false" outlineLevel="0" collapsed="false">
      <c r="A9" s="6" t="s">
        <v>6</v>
      </c>
      <c r="B9" s="7" t="n">
        <v>5.1</v>
      </c>
      <c r="C9" s="8" t="s">
        <v>7</v>
      </c>
      <c r="D9" s="2" t="s">
        <v>8</v>
      </c>
    </row>
    <row r="11" customFormat="false" ht="15" hidden="false" customHeight="false" outlineLevel="0" collapsed="false">
      <c r="A11" s="5" t="s">
        <v>9</v>
      </c>
      <c r="B11" s="5"/>
      <c r="C11" s="5"/>
      <c r="D11" s="5"/>
    </row>
    <row r="12" customFormat="false" ht="15" hidden="false" customHeight="false" outlineLevel="0" collapsed="false">
      <c r="A12" s="6" t="s">
        <v>10</v>
      </c>
      <c r="B12" s="9" t="n">
        <v>12000</v>
      </c>
      <c r="C12" s="8" t="s">
        <v>11</v>
      </c>
      <c r="D12" s="2" t="s">
        <v>12</v>
      </c>
    </row>
    <row r="13" customFormat="false" ht="15" hidden="false" customHeight="false" outlineLevel="0" collapsed="false">
      <c r="A13" s="6" t="s">
        <v>13</v>
      </c>
      <c r="B13" s="10" t="n">
        <v>2</v>
      </c>
      <c r="C13" s="8" t="s">
        <v>14</v>
      </c>
    </row>
    <row r="14" customFormat="false" ht="15" hidden="false" customHeight="false" outlineLevel="0" collapsed="false">
      <c r="A14" s="6" t="s">
        <v>15</v>
      </c>
      <c r="B14" s="11" t="n">
        <v>0.75</v>
      </c>
      <c r="C14" s="8" t="s">
        <v>16</v>
      </c>
      <c r="D14" s="2" t="s">
        <v>17</v>
      </c>
    </row>
    <row r="15" customFormat="false" ht="15" hidden="false" customHeight="false" outlineLevel="0" collapsed="false">
      <c r="A15" s="6" t="s">
        <v>18</v>
      </c>
      <c r="B15" s="11" t="n">
        <v>1.8</v>
      </c>
      <c r="C15" s="8" t="s">
        <v>19</v>
      </c>
      <c r="D15" s="2" t="s">
        <v>20</v>
      </c>
    </row>
    <row r="16" customFormat="false" ht="15" hidden="false" customHeight="false" outlineLevel="0" collapsed="false">
      <c r="A16" s="6" t="s">
        <v>21</v>
      </c>
      <c r="B16" s="9" t="n">
        <v>70</v>
      </c>
      <c r="C16" s="8" t="s">
        <v>22</v>
      </c>
      <c r="D16" s="2" t="s">
        <v>23</v>
      </c>
    </row>
    <row r="17" customFormat="false" ht="15" hidden="false" customHeight="false" outlineLevel="0" collapsed="false">
      <c r="A17" s="6" t="s">
        <v>24</v>
      </c>
      <c r="B17" s="10" t="n">
        <v>4</v>
      </c>
      <c r="C17" s="8" t="s">
        <v>25</v>
      </c>
    </row>
    <row r="19" customFormat="false" ht="15" hidden="false" customHeight="false" outlineLevel="0" collapsed="false">
      <c r="A19" s="5" t="s">
        <v>26</v>
      </c>
      <c r="B19" s="5"/>
      <c r="C19" s="5"/>
      <c r="D19" s="5"/>
    </row>
    <row r="20" customFormat="false" ht="15" hidden="false" customHeight="false" outlineLevel="0" collapsed="false">
      <c r="A20" s="6" t="s">
        <v>27</v>
      </c>
      <c r="B20" s="12" t="n">
        <v>20</v>
      </c>
      <c r="C20" s="8" t="s">
        <v>28</v>
      </c>
      <c r="D20" s="2" t="s">
        <v>29</v>
      </c>
    </row>
    <row r="21" customFormat="false" ht="15" hidden="false" customHeight="false" outlineLevel="0" collapsed="false">
      <c r="A21" s="6" t="s">
        <v>30</v>
      </c>
      <c r="B21" s="10" t="n">
        <v>1</v>
      </c>
      <c r="C21" s="8" t="s">
        <v>31</v>
      </c>
    </row>
    <row r="22" customFormat="false" ht="15" hidden="false" customHeight="false" outlineLevel="0" collapsed="false">
      <c r="A22" s="6" t="s">
        <v>32</v>
      </c>
      <c r="B22" s="12" t="n">
        <v>263</v>
      </c>
      <c r="C22" s="8" t="s">
        <v>33</v>
      </c>
      <c r="D22" s="2" t="s">
        <v>34</v>
      </c>
    </row>
    <row r="23" customFormat="false" ht="15" hidden="false" customHeight="false" outlineLevel="0" collapsed="false">
      <c r="A23" s="6" t="s">
        <v>35</v>
      </c>
      <c r="B23" s="12" t="n">
        <v>998</v>
      </c>
      <c r="C23" s="8" t="s">
        <v>33</v>
      </c>
      <c r="D23" s="2" t="s">
        <v>36</v>
      </c>
    </row>
    <row r="24" customFormat="false" ht="15" hidden="false" customHeight="false" outlineLevel="0" collapsed="false">
      <c r="A24" s="6" t="s">
        <v>37</v>
      </c>
      <c r="B24" s="12" t="n">
        <v>24.51</v>
      </c>
      <c r="C24" s="8" t="s">
        <v>28</v>
      </c>
      <c r="D24" s="2" t="s">
        <v>38</v>
      </c>
    </row>
    <row r="26" customFormat="false" ht="15" hidden="false" customHeight="false" outlineLevel="0" collapsed="false">
      <c r="A26" s="5" t="s">
        <v>39</v>
      </c>
      <c r="B26" s="5"/>
      <c r="C26" s="5"/>
      <c r="D26" s="5"/>
    </row>
    <row r="27" customFormat="false" ht="15" hidden="false" customHeight="false" outlineLevel="0" collapsed="false">
      <c r="A27" s="6" t="s">
        <v>40</v>
      </c>
      <c r="B27" s="10" t="n">
        <v>528</v>
      </c>
      <c r="C27" s="8" t="s">
        <v>41</v>
      </c>
      <c r="D27" s="2" t="s">
        <v>42</v>
      </c>
    </row>
    <row r="29" customFormat="false" ht="15" hidden="false" customHeight="false" outlineLevel="0" collapsed="false">
      <c r="A29" s="5" t="s">
        <v>43</v>
      </c>
      <c r="B29" s="5"/>
      <c r="C29" s="5"/>
      <c r="D29" s="5"/>
    </row>
    <row r="30" customFormat="false" ht="15" hidden="false" customHeight="false" outlineLevel="0" collapsed="false">
      <c r="A30" s="6" t="s">
        <v>44</v>
      </c>
      <c r="B30" s="13" t="n">
        <v>0.05</v>
      </c>
      <c r="C30" s="8" t="s">
        <v>45</v>
      </c>
    </row>
    <row r="31" customFormat="false" ht="15" hidden="false" customHeight="false" outlineLevel="0" collapsed="false">
      <c r="A31" s="6" t="s">
        <v>46</v>
      </c>
      <c r="B31" s="13" t="n">
        <v>0.1</v>
      </c>
      <c r="C31" s="8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6"/>
  </cols>
  <sheetData>
    <row r="1" customFormat="false" ht="17.35" hidden="false" customHeight="false" outlineLevel="0" collapsed="false">
      <c r="A1" s="1" t="s">
        <v>47</v>
      </c>
    </row>
    <row r="2" customFormat="false" ht="15" hidden="false" customHeight="false" outlineLevel="0" collapsed="false">
      <c r="A2" s="2" t="s">
        <v>48</v>
      </c>
    </row>
    <row r="4" customFormat="false" ht="15" hidden="false" customHeight="false" outlineLevel="0" collapsed="false">
      <c r="A4" s="5" t="s">
        <v>49</v>
      </c>
      <c r="B4" s="5"/>
      <c r="C4" s="5"/>
      <c r="D4" s="5"/>
    </row>
    <row r="5" customFormat="false" ht="15" hidden="false" customHeight="false" outlineLevel="0" collapsed="false">
      <c r="A5" s="14" t="s">
        <v>50</v>
      </c>
      <c r="B5" s="14" t="s">
        <v>51</v>
      </c>
      <c r="C5" s="14"/>
      <c r="D5" s="14" t="s">
        <v>52</v>
      </c>
    </row>
    <row r="6" customFormat="false" ht="15" hidden="false" customHeight="false" outlineLevel="0" collapsed="false">
      <c r="A6" s="6" t="s">
        <v>53</v>
      </c>
      <c r="B6" s="15" t="n">
        <f aca="false">Premissas!B12*Premissas!B14*Premissas!B13</f>
        <v>18000</v>
      </c>
      <c r="D6" s="2" t="s">
        <v>54</v>
      </c>
    </row>
    <row r="7" customFormat="false" ht="15" hidden="false" customHeight="false" outlineLevel="0" collapsed="false">
      <c r="A7" s="16" t="s">
        <v>55</v>
      </c>
      <c r="B7" s="17" t="n">
        <f aca="false">B6</f>
        <v>18000</v>
      </c>
    </row>
    <row r="9" customFormat="false" ht="15" hidden="false" customHeight="false" outlineLevel="0" collapsed="false">
      <c r="A9" s="5" t="s">
        <v>56</v>
      </c>
      <c r="B9" s="5"/>
      <c r="C9" s="5"/>
      <c r="D9" s="5"/>
    </row>
    <row r="10" customFormat="false" ht="15" hidden="false" customHeight="false" outlineLevel="0" collapsed="false">
      <c r="A10" s="14" t="s">
        <v>50</v>
      </c>
      <c r="B10" s="14" t="s">
        <v>57</v>
      </c>
      <c r="C10" s="14"/>
      <c r="D10" s="14" t="s">
        <v>52</v>
      </c>
    </row>
    <row r="11" customFormat="false" ht="15" hidden="false" customHeight="false" outlineLevel="0" collapsed="false">
      <c r="A11" s="6" t="s">
        <v>27</v>
      </c>
      <c r="B11" s="15" t="n">
        <f aca="false">Premissas!B20*Premissas!B21*12*Premissas!B9</f>
        <v>1224</v>
      </c>
      <c r="D11" s="2" t="s">
        <v>58</v>
      </c>
    </row>
    <row r="12" customFormat="false" ht="15" hidden="false" customHeight="false" outlineLevel="0" collapsed="false">
      <c r="A12" s="6" t="s">
        <v>59</v>
      </c>
      <c r="B12" s="15" t="n">
        <f aca="false">(Premissas!B22+Premissas!B23)*Premissas!B9</f>
        <v>6431.1</v>
      </c>
      <c r="D12" s="2" t="s">
        <v>60</v>
      </c>
    </row>
    <row r="13" customFormat="false" ht="15" hidden="false" customHeight="false" outlineLevel="0" collapsed="false">
      <c r="A13" s="6" t="s">
        <v>61</v>
      </c>
      <c r="B13" s="15" t="n">
        <f aca="false">Premissas!B16*Premissas!B17*12</f>
        <v>3360</v>
      </c>
      <c r="D13" s="2" t="s">
        <v>62</v>
      </c>
    </row>
    <row r="14" customFormat="false" ht="15" hidden="false" customHeight="false" outlineLevel="0" collapsed="false">
      <c r="A14" s="16" t="s">
        <v>63</v>
      </c>
      <c r="B14" s="17" t="n">
        <f aca="false">SUM(B11:B13)</f>
        <v>11015.1</v>
      </c>
    </row>
    <row r="16" customFormat="false" ht="15" hidden="false" customHeight="false" outlineLevel="0" collapsed="false">
      <c r="A16" s="5" t="s">
        <v>64</v>
      </c>
      <c r="B16" s="5"/>
      <c r="C16" s="5"/>
      <c r="D16" s="5"/>
    </row>
    <row r="17" customFormat="false" ht="15" hidden="false" customHeight="false" outlineLevel="0" collapsed="false">
      <c r="A17" s="14" t="s">
        <v>50</v>
      </c>
      <c r="B17" s="14" t="s">
        <v>57</v>
      </c>
      <c r="C17" s="14" t="s">
        <v>65</v>
      </c>
      <c r="D17" s="14" t="s">
        <v>52</v>
      </c>
    </row>
    <row r="18" customFormat="false" ht="15" hidden="false" customHeight="false" outlineLevel="0" collapsed="false">
      <c r="A18" s="6" t="s">
        <v>37</v>
      </c>
      <c r="B18" s="15" t="n">
        <f aca="false">ROUND(Premissas!B24*12*Premissas!B9,0)</f>
        <v>1500</v>
      </c>
      <c r="C18" s="15" t="n">
        <f aca="false">B18/Premissas!B27</f>
        <v>2.84090909090909</v>
      </c>
      <c r="D18" s="2" t="s">
        <v>66</v>
      </c>
    </row>
    <row r="19" customFormat="false" ht="15" hidden="false" customHeight="false" outlineLevel="0" collapsed="false">
      <c r="A19" s="16" t="s">
        <v>67</v>
      </c>
      <c r="B19" s="17" t="n">
        <f aca="false">B18</f>
        <v>1500</v>
      </c>
      <c r="C19" s="17" t="n">
        <f aca="false">B19/Premissas!B27</f>
        <v>2.84090909090909</v>
      </c>
    </row>
    <row r="21" customFormat="false" ht="15" hidden="false" customHeight="false" outlineLevel="0" collapsed="false">
      <c r="A21" s="5" t="s">
        <v>68</v>
      </c>
      <c r="B21" s="5"/>
      <c r="C21" s="5"/>
      <c r="D21" s="5"/>
    </row>
    <row r="22" customFormat="false" ht="15" hidden="false" customHeight="false" outlineLevel="0" collapsed="false">
      <c r="A22" s="14" t="s">
        <v>50</v>
      </c>
      <c r="B22" s="14" t="s">
        <v>51</v>
      </c>
      <c r="C22" s="14"/>
      <c r="D22" s="14" t="s">
        <v>69</v>
      </c>
    </row>
    <row r="23" customFormat="false" ht="15" hidden="false" customHeight="false" outlineLevel="0" collapsed="false">
      <c r="A23" s="6" t="s">
        <v>70</v>
      </c>
      <c r="B23" s="7" t="n">
        <v>0</v>
      </c>
      <c r="D23" s="2" t="s">
        <v>71</v>
      </c>
    </row>
    <row r="24" customFormat="false" ht="15" hidden="false" customHeight="false" outlineLevel="0" collapsed="false">
      <c r="A24" s="6" t="s">
        <v>72</v>
      </c>
      <c r="B24" s="7" t="n">
        <v>0</v>
      </c>
      <c r="D24" s="2" t="s">
        <v>73</v>
      </c>
    </row>
    <row r="25" customFormat="false" ht="15" hidden="false" customHeight="false" outlineLevel="0" collapsed="false">
      <c r="A25" s="6" t="s">
        <v>74</v>
      </c>
      <c r="B25" s="7" t="n">
        <v>0</v>
      </c>
      <c r="D25" s="2" t="s">
        <v>75</v>
      </c>
    </row>
    <row r="26" customFormat="false" ht="15" hidden="false" customHeight="false" outlineLevel="0" collapsed="false">
      <c r="A26" s="6" t="s">
        <v>76</v>
      </c>
      <c r="B26" s="7" t="n">
        <v>0</v>
      </c>
      <c r="D26" s="2" t="s">
        <v>77</v>
      </c>
    </row>
    <row r="27" customFormat="false" ht="15" hidden="false" customHeight="false" outlineLevel="0" collapsed="false">
      <c r="A27" s="6" t="s">
        <v>78</v>
      </c>
      <c r="B27" s="7" t="n">
        <v>0</v>
      </c>
      <c r="D27" s="2" t="s">
        <v>79</v>
      </c>
    </row>
    <row r="28" customFormat="false" ht="15" hidden="false" customHeight="false" outlineLevel="0" collapsed="false">
      <c r="A28" s="6" t="s">
        <v>80</v>
      </c>
      <c r="B28" s="7" t="n">
        <v>0</v>
      </c>
      <c r="D28" s="2" t="s">
        <v>81</v>
      </c>
    </row>
    <row r="30" customFormat="false" ht="15" hidden="false" customHeight="false" outlineLevel="0" collapsed="false">
      <c r="A30" s="5" t="s">
        <v>82</v>
      </c>
      <c r="B30" s="5"/>
      <c r="C30" s="5"/>
      <c r="D30" s="5"/>
    </row>
    <row r="31" customFormat="false" ht="15" hidden="false" customHeight="false" outlineLevel="0" collapsed="false">
      <c r="A31" s="14" t="s">
        <v>83</v>
      </c>
      <c r="B31" s="14" t="s">
        <v>51</v>
      </c>
      <c r="C31" s="14" t="s">
        <v>84</v>
      </c>
      <c r="D31" s="14"/>
    </row>
    <row r="32" customFormat="false" ht="15" hidden="false" customHeight="false" outlineLevel="0" collapsed="false">
      <c r="A32" s="6" t="s">
        <v>85</v>
      </c>
      <c r="B32" s="15" t="n">
        <f aca="false">B7</f>
        <v>18000</v>
      </c>
      <c r="C32" s="18" t="n">
        <f aca="false">B32/$B$36</f>
        <v>0.589871899485828</v>
      </c>
    </row>
    <row r="33" customFormat="false" ht="15" hidden="false" customHeight="false" outlineLevel="0" collapsed="false">
      <c r="A33" s="6" t="s">
        <v>86</v>
      </c>
      <c r="B33" s="15" t="n">
        <f aca="false">B14</f>
        <v>11015.1</v>
      </c>
      <c r="C33" s="18" t="n">
        <f aca="false">B33/$B$36</f>
        <v>0.360972108890353</v>
      </c>
    </row>
    <row r="34" customFormat="false" ht="15" hidden="false" customHeight="false" outlineLevel="0" collapsed="false">
      <c r="A34" s="6" t="s">
        <v>87</v>
      </c>
      <c r="B34" s="15" t="n">
        <f aca="false">B19</f>
        <v>1500</v>
      </c>
      <c r="C34" s="18" t="n">
        <f aca="false">B34/$B$36</f>
        <v>0.049155991623819</v>
      </c>
    </row>
    <row r="35" customFormat="false" ht="15" hidden="false" customHeight="false" outlineLevel="0" collapsed="false">
      <c r="A35" s="6" t="s">
        <v>88</v>
      </c>
      <c r="B35" s="15" t="n">
        <f aca="false">B33+B34</f>
        <v>12515.1</v>
      </c>
    </row>
    <row r="36" customFormat="false" ht="15" hidden="false" customHeight="false" outlineLevel="0" collapsed="false">
      <c r="A36" s="16" t="s">
        <v>89</v>
      </c>
      <c r="B36" s="17" t="n">
        <f aca="false">B32+B35</f>
        <v>30515.1</v>
      </c>
      <c r="C36" s="19" t="n">
        <f aca="false">B36/$B$36</f>
        <v>1</v>
      </c>
    </row>
    <row r="37" customFormat="false" ht="15" hidden="false" customHeight="false" outlineLevel="0" collapsed="false">
      <c r="A37" s="16" t="s">
        <v>90</v>
      </c>
      <c r="B37" s="17" t="n">
        <f aca="false">B35</f>
        <v>12515.1</v>
      </c>
      <c r="D37" s="2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6" min="3" style="0" width="14"/>
    <col collapsed="false" customWidth="true" hidden="false" outlineLevel="0" max="8" min="7" style="0" width="16"/>
  </cols>
  <sheetData>
    <row r="1" customFormat="false" ht="17.35" hidden="false" customHeight="false" outlineLevel="0" collapsed="false">
      <c r="A1" s="1" t="s">
        <v>92</v>
      </c>
    </row>
    <row r="2" customFormat="false" ht="15" hidden="false" customHeight="false" outlineLevel="0" collapsed="false">
      <c r="A2" s="2" t="s">
        <v>93</v>
      </c>
    </row>
    <row r="4" customFormat="false" ht="15" hidden="false" customHeight="false" outlineLevel="0" collapsed="false">
      <c r="A4" s="14" t="s">
        <v>94</v>
      </c>
      <c r="B4" s="14" t="s">
        <v>95</v>
      </c>
      <c r="C4" s="14" t="s">
        <v>96</v>
      </c>
      <c r="D4" s="14" t="s">
        <v>97</v>
      </c>
      <c r="E4" s="14" t="s">
        <v>98</v>
      </c>
      <c r="F4" s="14" t="s">
        <v>99</v>
      </c>
      <c r="G4" s="14" t="s">
        <v>100</v>
      </c>
      <c r="H4" s="14" t="s">
        <v>101</v>
      </c>
    </row>
    <row r="5" customFormat="false" ht="15" hidden="false" customHeight="false" outlineLevel="0" collapsed="false">
      <c r="A5" s="20" t="n">
        <v>1</v>
      </c>
      <c r="B5" s="15" t="n">
        <f aca="false">Orçamento!$B$7</f>
        <v>18000</v>
      </c>
      <c r="C5" s="15" t="n">
        <f aca="false">Orçamento!$B$11/12</f>
        <v>102</v>
      </c>
      <c r="D5" s="15" t="n">
        <f aca="false">Orçamento!$B$12/12</f>
        <v>535.925</v>
      </c>
      <c r="E5" s="15" t="n">
        <f aca="false">Orçamento!$B$18/12</f>
        <v>125</v>
      </c>
      <c r="F5" s="15" t="n">
        <f aca="false">Orçamento!$B$13/12</f>
        <v>280</v>
      </c>
      <c r="G5" s="15" t="n">
        <f aca="false">SUM(B5:F5)</f>
        <v>19042.925</v>
      </c>
      <c r="H5" s="15" t="n">
        <f aca="false">G5</f>
        <v>19042.925</v>
      </c>
    </row>
    <row r="6" customFormat="false" ht="15" hidden="false" customHeight="false" outlineLevel="0" collapsed="false">
      <c r="A6" s="20" t="n">
        <v>2</v>
      </c>
      <c r="B6" s="15" t="n">
        <f aca="false">0</f>
        <v>0</v>
      </c>
      <c r="C6" s="15" t="n">
        <f aca="false">Orçamento!$B$11/12</f>
        <v>102</v>
      </c>
      <c r="D6" s="15" t="n">
        <f aca="false">Orçamento!$B$12/12</f>
        <v>535.925</v>
      </c>
      <c r="E6" s="15" t="n">
        <f aca="false">Orçamento!$B$18/12</f>
        <v>125</v>
      </c>
      <c r="F6" s="15" t="n">
        <f aca="false">Orçamento!$B$13/12</f>
        <v>280</v>
      </c>
      <c r="G6" s="15" t="n">
        <f aca="false">SUM(B6:F6)</f>
        <v>1042.925</v>
      </c>
      <c r="H6" s="15" t="n">
        <f aca="false">H5+G6</f>
        <v>20085.85</v>
      </c>
    </row>
    <row r="7" customFormat="false" ht="15" hidden="false" customHeight="false" outlineLevel="0" collapsed="false">
      <c r="A7" s="20" t="n">
        <v>3</v>
      </c>
      <c r="B7" s="15" t="n">
        <f aca="false">0</f>
        <v>0</v>
      </c>
      <c r="C7" s="15" t="n">
        <f aca="false">Orçamento!$B$11/12</f>
        <v>102</v>
      </c>
      <c r="D7" s="15" t="n">
        <f aca="false">Orçamento!$B$12/12</f>
        <v>535.925</v>
      </c>
      <c r="E7" s="15" t="n">
        <f aca="false">Orçamento!$B$18/12</f>
        <v>125</v>
      </c>
      <c r="F7" s="15" t="n">
        <f aca="false">Orçamento!$B$13/12</f>
        <v>280</v>
      </c>
      <c r="G7" s="15" t="n">
        <f aca="false">SUM(B7:F7)</f>
        <v>1042.925</v>
      </c>
      <c r="H7" s="15" t="n">
        <f aca="false">H6+G7</f>
        <v>21128.775</v>
      </c>
    </row>
    <row r="8" customFormat="false" ht="15" hidden="false" customHeight="false" outlineLevel="0" collapsed="false">
      <c r="A8" s="20" t="n">
        <v>4</v>
      </c>
      <c r="B8" s="15" t="n">
        <f aca="false">0</f>
        <v>0</v>
      </c>
      <c r="C8" s="15" t="n">
        <f aca="false">Orçamento!$B$11/12</f>
        <v>102</v>
      </c>
      <c r="D8" s="15" t="n">
        <f aca="false">Orçamento!$B$12/12</f>
        <v>535.925</v>
      </c>
      <c r="E8" s="15" t="n">
        <f aca="false">Orçamento!$B$18/12</f>
        <v>125</v>
      </c>
      <c r="F8" s="15" t="n">
        <f aca="false">Orçamento!$B$13/12</f>
        <v>280</v>
      </c>
      <c r="G8" s="15" t="n">
        <f aca="false">SUM(B8:F8)</f>
        <v>1042.925</v>
      </c>
      <c r="H8" s="15" t="n">
        <f aca="false">H7+G8</f>
        <v>22171.7</v>
      </c>
    </row>
    <row r="9" customFormat="false" ht="15" hidden="false" customHeight="false" outlineLevel="0" collapsed="false">
      <c r="A9" s="20" t="n">
        <v>5</v>
      </c>
      <c r="B9" s="15" t="n">
        <f aca="false">0</f>
        <v>0</v>
      </c>
      <c r="C9" s="15" t="n">
        <f aca="false">Orçamento!$B$11/12</f>
        <v>102</v>
      </c>
      <c r="D9" s="15" t="n">
        <f aca="false">Orçamento!$B$12/12</f>
        <v>535.925</v>
      </c>
      <c r="E9" s="15" t="n">
        <f aca="false">Orçamento!$B$18/12</f>
        <v>125</v>
      </c>
      <c r="F9" s="15" t="n">
        <f aca="false">Orçamento!$B$13/12</f>
        <v>280</v>
      </c>
      <c r="G9" s="15" t="n">
        <f aca="false">SUM(B9:F9)</f>
        <v>1042.925</v>
      </c>
      <c r="H9" s="15" t="n">
        <f aca="false">H8+G9</f>
        <v>23214.625</v>
      </c>
    </row>
    <row r="10" customFormat="false" ht="15" hidden="false" customHeight="false" outlineLevel="0" collapsed="false">
      <c r="A10" s="20" t="n">
        <v>6</v>
      </c>
      <c r="B10" s="15" t="n">
        <f aca="false">0</f>
        <v>0</v>
      </c>
      <c r="C10" s="15" t="n">
        <f aca="false">Orçamento!$B$11/12</f>
        <v>102</v>
      </c>
      <c r="D10" s="15" t="n">
        <f aca="false">Orçamento!$B$12/12</f>
        <v>535.925</v>
      </c>
      <c r="E10" s="15" t="n">
        <f aca="false">Orçamento!$B$18/12</f>
        <v>125</v>
      </c>
      <c r="F10" s="15" t="n">
        <f aca="false">Orçamento!$B$13/12</f>
        <v>280</v>
      </c>
      <c r="G10" s="15" t="n">
        <f aca="false">SUM(B10:F10)</f>
        <v>1042.925</v>
      </c>
      <c r="H10" s="15" t="n">
        <f aca="false">H9+G10</f>
        <v>24257.55</v>
      </c>
    </row>
    <row r="11" customFormat="false" ht="15" hidden="false" customHeight="false" outlineLevel="0" collapsed="false">
      <c r="A11" s="20" t="n">
        <v>7</v>
      </c>
      <c r="B11" s="15" t="n">
        <f aca="false">0</f>
        <v>0</v>
      </c>
      <c r="C11" s="15" t="n">
        <f aca="false">Orçamento!$B$11/12</f>
        <v>102</v>
      </c>
      <c r="D11" s="15" t="n">
        <f aca="false">Orçamento!$B$12/12</f>
        <v>535.925</v>
      </c>
      <c r="E11" s="15" t="n">
        <f aca="false">Orçamento!$B$18/12</f>
        <v>125</v>
      </c>
      <c r="F11" s="15" t="n">
        <f aca="false">Orçamento!$B$13/12</f>
        <v>280</v>
      </c>
      <c r="G11" s="15" t="n">
        <f aca="false">SUM(B11:F11)</f>
        <v>1042.925</v>
      </c>
      <c r="H11" s="15" t="n">
        <f aca="false">H10+G11</f>
        <v>25300.475</v>
      </c>
    </row>
    <row r="12" customFormat="false" ht="15" hidden="false" customHeight="false" outlineLevel="0" collapsed="false">
      <c r="A12" s="20" t="n">
        <v>8</v>
      </c>
      <c r="B12" s="15" t="n">
        <f aca="false">0</f>
        <v>0</v>
      </c>
      <c r="C12" s="15" t="n">
        <f aca="false">Orçamento!$B$11/12</f>
        <v>102</v>
      </c>
      <c r="D12" s="15" t="n">
        <f aca="false">Orçamento!$B$12/12</f>
        <v>535.925</v>
      </c>
      <c r="E12" s="15" t="n">
        <f aca="false">Orçamento!$B$18/12</f>
        <v>125</v>
      </c>
      <c r="F12" s="15" t="n">
        <f aca="false">Orçamento!$B$13/12</f>
        <v>280</v>
      </c>
      <c r="G12" s="15" t="n">
        <f aca="false">SUM(B12:F12)</f>
        <v>1042.925</v>
      </c>
      <c r="H12" s="15" t="n">
        <f aca="false">H11+G12</f>
        <v>26343.4</v>
      </c>
    </row>
    <row r="13" customFormat="false" ht="15" hidden="false" customHeight="false" outlineLevel="0" collapsed="false">
      <c r="A13" s="20" t="n">
        <v>9</v>
      </c>
      <c r="B13" s="15" t="n">
        <f aca="false">0</f>
        <v>0</v>
      </c>
      <c r="C13" s="15" t="n">
        <f aca="false">Orçamento!$B$11/12</f>
        <v>102</v>
      </c>
      <c r="D13" s="15" t="n">
        <f aca="false">Orçamento!$B$12/12</f>
        <v>535.925</v>
      </c>
      <c r="E13" s="15" t="n">
        <f aca="false">Orçamento!$B$18/12</f>
        <v>125</v>
      </c>
      <c r="F13" s="15" t="n">
        <f aca="false">Orçamento!$B$13/12</f>
        <v>280</v>
      </c>
      <c r="G13" s="15" t="n">
        <f aca="false">SUM(B13:F13)</f>
        <v>1042.925</v>
      </c>
      <c r="H13" s="15" t="n">
        <f aca="false">H12+G13</f>
        <v>27386.325</v>
      </c>
    </row>
    <row r="14" customFormat="false" ht="15" hidden="false" customHeight="false" outlineLevel="0" collapsed="false">
      <c r="A14" s="20" t="n">
        <v>10</v>
      </c>
      <c r="B14" s="15" t="n">
        <f aca="false">0</f>
        <v>0</v>
      </c>
      <c r="C14" s="15" t="n">
        <f aca="false">Orçamento!$B$11/12</f>
        <v>102</v>
      </c>
      <c r="D14" s="15" t="n">
        <f aca="false">Orçamento!$B$12/12</f>
        <v>535.925</v>
      </c>
      <c r="E14" s="15" t="n">
        <f aca="false">Orçamento!$B$18/12</f>
        <v>125</v>
      </c>
      <c r="F14" s="15" t="n">
        <f aca="false">Orçamento!$B$13/12</f>
        <v>280</v>
      </c>
      <c r="G14" s="15" t="n">
        <f aca="false">SUM(B14:F14)</f>
        <v>1042.925</v>
      </c>
      <c r="H14" s="15" t="n">
        <f aca="false">H13+G14</f>
        <v>28429.25</v>
      </c>
    </row>
    <row r="15" customFormat="false" ht="15" hidden="false" customHeight="false" outlineLevel="0" collapsed="false">
      <c r="A15" s="20" t="n">
        <v>11</v>
      </c>
      <c r="B15" s="15" t="n">
        <f aca="false">0</f>
        <v>0</v>
      </c>
      <c r="C15" s="15" t="n">
        <f aca="false">Orçamento!$B$11/12</f>
        <v>102</v>
      </c>
      <c r="D15" s="15" t="n">
        <f aca="false">Orçamento!$B$12/12</f>
        <v>535.925</v>
      </c>
      <c r="E15" s="15" t="n">
        <f aca="false">Orçamento!$B$18/12</f>
        <v>125</v>
      </c>
      <c r="F15" s="15" t="n">
        <f aca="false">Orçamento!$B$13/12</f>
        <v>280</v>
      </c>
      <c r="G15" s="15" t="n">
        <f aca="false">SUM(B15:F15)</f>
        <v>1042.925</v>
      </c>
      <c r="H15" s="15" t="n">
        <f aca="false">H14+G15</f>
        <v>29472.175</v>
      </c>
    </row>
    <row r="16" customFormat="false" ht="15" hidden="false" customHeight="false" outlineLevel="0" collapsed="false">
      <c r="A16" s="20" t="n">
        <v>12</v>
      </c>
      <c r="B16" s="15" t="n">
        <f aca="false">0</f>
        <v>0</v>
      </c>
      <c r="C16" s="15" t="n">
        <f aca="false">Orçamento!$B$11/12</f>
        <v>102</v>
      </c>
      <c r="D16" s="15" t="n">
        <f aca="false">Orçamento!$B$12/12</f>
        <v>535.925</v>
      </c>
      <c r="E16" s="15" t="n">
        <f aca="false">Orçamento!$B$18/12</f>
        <v>125</v>
      </c>
      <c r="F16" s="15" t="n">
        <f aca="false">Orçamento!$B$13/12</f>
        <v>280</v>
      </c>
      <c r="G16" s="15" t="n">
        <f aca="false">SUM(B16:F16)</f>
        <v>1042.925</v>
      </c>
      <c r="H16" s="15" t="n">
        <f aca="false">H15+G16</f>
        <v>30515.1</v>
      </c>
    </row>
    <row r="17" customFormat="false" ht="15" hidden="false" customHeight="false" outlineLevel="0" collapsed="false">
      <c r="A17" s="20" t="str">
        <f aca="false">"Total"</f>
        <v>Total</v>
      </c>
      <c r="B17" s="17" t="n">
        <f aca="false">SUM(B5:B16)</f>
        <v>18000</v>
      </c>
      <c r="C17" s="17" t="n">
        <f aca="false">SUM(C5:C16)</f>
        <v>1224</v>
      </c>
      <c r="D17" s="17" t="n">
        <f aca="false">SUM(D5:D16)</f>
        <v>6431.1</v>
      </c>
      <c r="E17" s="17" t="n">
        <f aca="false">SUM(E5:E16)</f>
        <v>1500</v>
      </c>
      <c r="F17" s="17" t="n">
        <f aca="false">SUM(F5:F16)</f>
        <v>3360</v>
      </c>
      <c r="G17" s="17" t="n">
        <f aca="false">SUM(G5:G16)</f>
        <v>30515.1</v>
      </c>
    </row>
    <row r="19" customFormat="false" ht="15" hidden="false" customHeight="false" outlineLevel="0" collapsed="false">
      <c r="A19" s="5" t="s">
        <v>102</v>
      </c>
      <c r="B19" s="5"/>
      <c r="C19" s="5"/>
      <c r="D19" s="5"/>
      <c r="E19" s="5"/>
      <c r="F19" s="5"/>
      <c r="G19" s="5"/>
      <c r="H19" s="5"/>
    </row>
    <row r="20" customFormat="false" ht="15" hidden="false" customHeight="false" outlineLevel="0" collapsed="false">
      <c r="A20" s="6" t="s">
        <v>103</v>
      </c>
      <c r="B20" s="15" t="n">
        <f aca="false">G5</f>
        <v>19042.925</v>
      </c>
      <c r="C20" s="18" t="n">
        <f aca="false">G5/G17</f>
        <v>0.624049241195343</v>
      </c>
    </row>
    <row r="21" customFormat="false" ht="15" hidden="false" customHeight="false" outlineLevel="0" collapsed="false">
      <c r="A21" s="6" t="s">
        <v>104</v>
      </c>
      <c r="B21" s="15" t="n">
        <f aca="false">SUM(G6:G16)</f>
        <v>11472.175</v>
      </c>
      <c r="C21" s="18" t="n">
        <f aca="false">SUM(G6:G16)/G17</f>
        <v>0.375950758804657</v>
      </c>
    </row>
    <row r="22" customFormat="false" ht="15" hidden="false" customHeight="false" outlineLevel="0" collapsed="false">
      <c r="A22" s="6" t="s">
        <v>105</v>
      </c>
      <c r="B22" s="15" t="n">
        <f aca="false">G6</f>
        <v>1042.925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8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" t="s">
        <v>106</v>
      </c>
    </row>
    <row r="3" customFormat="false" ht="15" hidden="false" customHeight="false" outlineLevel="0" collapsed="false">
      <c r="A3" s="5" t="s">
        <v>107</v>
      </c>
      <c r="B3" s="5"/>
      <c r="C3" s="5"/>
      <c r="D3" s="5"/>
    </row>
    <row r="4" customFormat="false" ht="15" hidden="false" customHeight="false" outlineLevel="0" collapsed="false">
      <c r="A4" s="14" t="s">
        <v>108</v>
      </c>
      <c r="B4" s="14" t="s">
        <v>109</v>
      </c>
      <c r="C4" s="14" t="s">
        <v>110</v>
      </c>
      <c r="D4" s="14" t="s">
        <v>111</v>
      </c>
    </row>
    <row r="5" customFormat="false" ht="15" hidden="false" customHeight="false" outlineLevel="0" collapsed="false">
      <c r="A5" s="6" t="s">
        <v>112</v>
      </c>
      <c r="B5" s="15" t="n">
        <f aca="false">Orçamento!B36</f>
        <v>30515.1</v>
      </c>
      <c r="C5" s="18" t="n">
        <f aca="false">B5/$B$5-1</f>
        <v>0</v>
      </c>
      <c r="D5" s="2" t="s">
        <v>113</v>
      </c>
    </row>
    <row r="6" customFormat="false" ht="15" hidden="false" customHeight="false" outlineLevel="0" collapsed="false">
      <c r="A6" s="6" t="s">
        <v>114</v>
      </c>
      <c r="B6" s="15" t="n">
        <f aca="false">$B$5*(1+Premissas!B30)</f>
        <v>32040.855</v>
      </c>
      <c r="C6" s="18" t="n">
        <f aca="false">B6/$B$5-1</f>
        <v>0.05</v>
      </c>
      <c r="D6" s="2" t="s">
        <v>115</v>
      </c>
    </row>
    <row r="7" customFormat="false" ht="15" hidden="false" customHeight="false" outlineLevel="0" collapsed="false">
      <c r="A7" s="6" t="s">
        <v>116</v>
      </c>
      <c r="B7" s="15" t="n">
        <f aca="false">$B$5*(1+Premissas!B31)</f>
        <v>33566.61</v>
      </c>
      <c r="C7" s="18" t="n">
        <f aca="false">B7/$B$5-1</f>
        <v>0.1</v>
      </c>
      <c r="D7" s="2" t="s">
        <v>117</v>
      </c>
    </row>
    <row r="9" customFormat="false" ht="15" hidden="false" customHeight="false" outlineLevel="0" collapsed="false">
      <c r="A9" s="5" t="s">
        <v>118</v>
      </c>
      <c r="B9" s="5"/>
      <c r="C9" s="5"/>
      <c r="D9" s="5"/>
    </row>
    <row r="10" customFormat="false" ht="15" hidden="false" customHeight="false" outlineLevel="0" collapsed="false">
      <c r="A10" s="14" t="s">
        <v>83</v>
      </c>
      <c r="B10" s="14" t="s">
        <v>119</v>
      </c>
      <c r="C10" s="14" t="s">
        <v>120</v>
      </c>
      <c r="D10" s="14"/>
    </row>
    <row r="11" customFormat="false" ht="15" hidden="false" customHeight="false" outlineLevel="0" collapsed="false">
      <c r="A11" s="6" t="s">
        <v>121</v>
      </c>
      <c r="B11" s="15" t="n">
        <f aca="false">Orçamento!B7</f>
        <v>18000</v>
      </c>
      <c r="C11" s="15" t="n">
        <f aca="false">Orçamento!B7*Premissas!B15</f>
        <v>32400</v>
      </c>
      <c r="D11" s="2" t="s">
        <v>122</v>
      </c>
    </row>
    <row r="12" customFormat="false" ht="15" hidden="false" customHeight="false" outlineLevel="0" collapsed="false">
      <c r="A12" s="6" t="s">
        <v>88</v>
      </c>
      <c r="B12" s="15" t="n">
        <f aca="false">Orçamento!B35</f>
        <v>12515.1</v>
      </c>
      <c r="C12" s="15" t="n">
        <f aca="false">Orçamento!B35</f>
        <v>12515.1</v>
      </c>
    </row>
    <row r="13" customFormat="false" ht="15" hidden="false" customHeight="false" outlineLevel="0" collapsed="false">
      <c r="A13" s="16" t="s">
        <v>123</v>
      </c>
      <c r="B13" s="17" t="n">
        <f aca="false">B11+B12</f>
        <v>30515.1</v>
      </c>
      <c r="C13" s="17" t="n">
        <f aca="false">C11+C12</f>
        <v>44915.1</v>
      </c>
    </row>
    <row r="14" customFormat="false" ht="15" hidden="false" customHeight="false" outlineLevel="0" collapsed="false">
      <c r="A14" s="6" t="s">
        <v>124</v>
      </c>
      <c r="C14" s="15" t="n">
        <f aca="false">C13-B13</f>
        <v>14400</v>
      </c>
      <c r="D14" s="2" t="s">
        <v>125</v>
      </c>
    </row>
    <row r="16" customFormat="false" ht="15" hidden="false" customHeight="false" outlineLevel="0" collapsed="false">
      <c r="A16" s="5" t="s">
        <v>126</v>
      </c>
      <c r="B16" s="5"/>
      <c r="C16" s="5"/>
      <c r="D16" s="5"/>
    </row>
    <row r="17" customFormat="false" ht="15" hidden="false" customHeight="false" outlineLevel="0" collapsed="false">
      <c r="A17" s="2" t="s">
        <v>127</v>
      </c>
    </row>
    <row r="18" customFormat="false" ht="15" hidden="false" customHeight="false" outlineLevel="0" collapsed="false">
      <c r="A18" s="14" t="s">
        <v>128</v>
      </c>
      <c r="B18" s="14" t="s">
        <v>129</v>
      </c>
      <c r="C18" s="14" t="s">
        <v>130</v>
      </c>
      <c r="D18" s="14" t="s">
        <v>131</v>
      </c>
    </row>
    <row r="19" customFormat="false" ht="15" hidden="false" customHeight="false" outlineLevel="0" collapsed="false">
      <c r="A19" s="11" t="n">
        <v>4.6</v>
      </c>
      <c r="B19" s="15" t="n">
        <f aca="false">(Orçamento!$B$11+Orçamento!$B$12+Orçamento!$B$18)/Premissas!$B$9*A19</f>
        <v>8257.54117647059</v>
      </c>
      <c r="C19" s="15" t="n">
        <f aca="false">Orçamento!$B$36-(Orçamento!$B$11+Orçamento!$B$12+Orçamento!$B$18)+B19</f>
        <v>29617.5411764706</v>
      </c>
      <c r="D19" s="18" t="n">
        <f aca="false">C19/Orçamento!$B$36-1</f>
        <v>-0.0294135960075311</v>
      </c>
    </row>
    <row r="20" customFormat="false" ht="15" hidden="false" customHeight="false" outlineLevel="0" collapsed="false">
      <c r="A20" s="11" t="n">
        <v>5.1</v>
      </c>
      <c r="B20" s="15" t="n">
        <f aca="false">(Orçamento!$B$11+Orçamento!$B$12+Orçamento!$B$18)/Premissas!$B$9*A20</f>
        <v>9155.1</v>
      </c>
      <c r="C20" s="15" t="n">
        <f aca="false">Orçamento!$B$36-(Orçamento!$B$11+Orçamento!$B$12+Orçamento!$B$18)+B20</f>
        <v>30515.1</v>
      </c>
      <c r="D20" s="18" t="n">
        <f aca="false">C20/Orçamento!$B$36-1</f>
        <v>0</v>
      </c>
    </row>
    <row r="21" customFormat="false" ht="15" hidden="false" customHeight="false" outlineLevel="0" collapsed="false">
      <c r="A21" s="11" t="n">
        <v>5.6</v>
      </c>
      <c r="B21" s="15" t="n">
        <f aca="false">(Orçamento!$B$11+Orçamento!$B$12+Orçamento!$B$18)/Premissas!$B$9*A21</f>
        <v>10052.6588235294</v>
      </c>
      <c r="C21" s="15" t="n">
        <f aca="false">Orçamento!$B$36-(Orçamento!$B$11+Orçamento!$B$12+Orçamento!$B$18)+B21</f>
        <v>31412.6588235294</v>
      </c>
      <c r="D21" s="18" t="n">
        <f aca="false">C21/Orçamento!$B$36-1</f>
        <v>0.029413596007531</v>
      </c>
    </row>
    <row r="22" customFormat="false" ht="15" hidden="false" customHeight="false" outlineLevel="0" collapsed="false">
      <c r="A22" s="11" t="n">
        <v>6.1</v>
      </c>
      <c r="B22" s="15" t="n">
        <f aca="false">(Orçamento!$B$11+Orçamento!$B$12+Orçamento!$B$18)/Premissas!$B$9*A22</f>
        <v>10950.2176470588</v>
      </c>
      <c r="C22" s="15" t="n">
        <f aca="false">Orçamento!$B$36-(Orçamento!$B$11+Orçamento!$B$12+Orçamento!$B$18)+B22</f>
        <v>32310.2176470588</v>
      </c>
      <c r="D22" s="18" t="n">
        <f aca="false">C22/Orçamento!$B$36-1</f>
        <v>0.0588271920150623</v>
      </c>
    </row>
    <row r="24" customFormat="false" ht="15" hidden="false" customHeight="false" outlineLevel="0" collapsed="false">
      <c r="A24" s="5" t="s">
        <v>132</v>
      </c>
      <c r="B24" s="5"/>
      <c r="C24" s="5"/>
      <c r="D24" s="5"/>
    </row>
    <row r="25" customFormat="false" ht="15" hidden="false" customHeight="false" outlineLevel="0" collapsed="false">
      <c r="A25" s="14" t="s">
        <v>108</v>
      </c>
      <c r="B25" s="14" t="s">
        <v>109</v>
      </c>
      <c r="C25" s="14"/>
      <c r="D25" s="14"/>
    </row>
    <row r="26" customFormat="false" ht="15" hidden="false" customHeight="false" outlineLevel="0" collapsed="false">
      <c r="A26" s="6" t="s">
        <v>133</v>
      </c>
      <c r="B26" s="15" t="n">
        <f aca="false">B5</f>
        <v>30515.1</v>
      </c>
    </row>
    <row r="27" customFormat="false" ht="15" hidden="false" customHeight="false" outlineLevel="0" collapsed="false">
      <c r="A27" s="6" t="s">
        <v>114</v>
      </c>
      <c r="B27" s="15" t="n">
        <f aca="false">B6</f>
        <v>32040.855</v>
      </c>
    </row>
    <row r="28" customFormat="false" ht="15" hidden="false" customHeight="false" outlineLevel="0" collapsed="false">
      <c r="A28" s="6" t="s">
        <v>116</v>
      </c>
      <c r="B28" s="15" t="n">
        <f aca="false">B7</f>
        <v>33566.61</v>
      </c>
    </row>
    <row r="29" customFormat="false" ht="15" hidden="false" customHeight="false" outlineLevel="0" collapsed="false">
      <c r="A29" s="6" t="s">
        <v>134</v>
      </c>
      <c r="B29" s="15" t="n">
        <f aca="false">C13</f>
        <v>44915.1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2026-09-10T20:49:30Z</dcterms:created>
  <dc:creator>openpyxl</dc:creator>
  <dc:description/>
  <dc:language>en-US</dc:language>
  <cp:lastModifiedBy/>
  <dcterms:modified xsi:type="dcterms:W3CDTF">2026-09-10T20:49:30Z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