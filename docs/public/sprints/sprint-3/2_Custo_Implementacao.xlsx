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Infraestrutura" sheetId="2" state="visible" r:id="rId4"/>
    <sheet name="Orçamento" sheetId="3" state="visible" r:id="rId5"/>
    <sheet name="Cronograma" sheetId="4" state="visible" r:id="rId6"/>
    <sheet name="Cená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<sst xmlns="http://schemas.openxmlformats.org/spreadsheetml/2006/main" count="309" uniqueCount="236">
  <si>
    <t xml:space="preserve">Projeto Implementado — Premissas e Fontes</t>
  </si>
  <si>
    <t xml:space="preserve">Motiva · Manutenção Preditiva das PSD · Dimensionamento de produção · 12 meses</t>
  </si>
  <si>
    <t xml:space="preserve">Todas as premissas ficam nesta aba. Alterar aqui recalcula as demais.</t>
  </si>
  <si>
    <t xml:space="preserve">Amarelo = premissa de entrada (editável)</t>
  </si>
  <si>
    <t xml:space="preserve">Cinza = calculado por fórmula (não editar)</t>
  </si>
  <si>
    <t xml:space="preserve">Câmbio e escala</t>
  </si>
  <si>
    <t xml:space="preserve">Cotação do dólar comercial</t>
  </si>
  <si>
    <t xml:space="preserve">R$/US$</t>
  </si>
  <si>
    <t xml:space="preserve">Cotação comercial de mercado · consultada em 09/09/2026</t>
  </si>
  <si>
    <t xml:space="preserve">Portas de plataforma monitoradas</t>
  </si>
  <si>
    <t xml:space="preserve">portas</t>
  </si>
  <si>
    <t xml:space="preserve">Informado pela Motiva</t>
  </si>
  <si>
    <t xml:space="preserve">Mão de obra</t>
  </si>
  <si>
    <t xml:space="preserve">Salário dev Full-Stack Pleno</t>
  </si>
  <si>
    <t xml:space="preserve">R$/mês</t>
  </si>
  <si>
    <t xml:space="preserve">Faixa R$ 9.550-15.900 · Guia Salarial 2026 Robert Half</t>
  </si>
  <si>
    <t xml:space="preserve">Número de desenvolvedores</t>
  </si>
  <si>
    <t xml:space="preserve">pessoas</t>
  </si>
  <si>
    <t xml:space="preserve">Duração da produtização</t>
  </si>
  <si>
    <t xml:space="preserve">meses</t>
  </si>
  <si>
    <t xml:space="preserve">Produtização, integração com sistemas de origem, homologação e pipeline de deploy</t>
  </si>
  <si>
    <t xml:space="preserve">Fator de encargos CLT</t>
  </si>
  <si>
    <t xml:space="preserve">x salário</t>
  </si>
  <si>
    <t xml:space="preserve">INSS 20%, FGTS 8%, RAT, Sistema S, 13o e férias · Lucro Presumido/Real</t>
  </si>
  <si>
    <t xml:space="preserve">Sustentação e retreinamento</t>
  </si>
  <si>
    <t xml:space="preserve">Horas de sustentação por mês</t>
  </si>
  <si>
    <t xml:space="preserve">horas/mês</t>
  </si>
  <si>
    <t xml:space="preserve">4 h/semana · sistema em produção com pipeline de dados e 3.360 alertas/ano</t>
  </si>
  <si>
    <t xml:space="preserve">Valor da hora de sustentação</t>
  </si>
  <si>
    <t xml:space="preserve">R$/hora</t>
  </si>
  <si>
    <t xml:space="preserve">Ciclos de retreinamento por ano</t>
  </si>
  <si>
    <t xml:space="preserve">ciclos/ano</t>
  </si>
  <si>
    <t xml:space="preserve">Retreinamento trimestral para conter degradação do modelo</t>
  </si>
  <si>
    <t xml:space="preserve">Horas por ciclo de retreinamento</t>
  </si>
  <si>
    <t xml:space="preserve">horas/ciclo</t>
  </si>
  <si>
    <t xml:space="preserve">Valor da hora de retreinamento</t>
  </si>
  <si>
    <t xml:space="preserve">Perfil de cientista de dados, acima do valor-hora de sustentação</t>
  </si>
  <si>
    <t xml:space="preserve">Segurança</t>
  </si>
  <si>
    <t xml:space="preserve">Pentest e revisão de segurança</t>
  </si>
  <si>
    <t xml:space="preserve">R$, único</t>
  </si>
  <si>
    <t xml:space="preserve">Estimativa a cotar · exigência usual para sistema em concessionária</t>
  </si>
  <si>
    <t xml:space="preserve">Frontend</t>
  </si>
  <si>
    <t xml:space="preserve">Vercel Pro</t>
  </si>
  <si>
    <t xml:space="preserve">US$/mês</t>
  </si>
  <si>
    <t xml:space="preserve">Preço por membro · página oficial de planos da Vercel</t>
  </si>
  <si>
    <t xml:space="preserve">Assentos Vercel</t>
  </si>
  <si>
    <t xml:space="preserve">membros</t>
  </si>
  <si>
    <t xml:space="preserve">Azure SQL Database — preços públicos</t>
  </si>
  <si>
    <t xml:space="preserve">Produção — GP 4 vCore com redundância de zona</t>
  </si>
  <si>
    <t xml:space="preserve">GP 4 vCore = US$ 730/mês; redundância de zona eleva para = US$ 1.000/mês</t>
  </si>
  <si>
    <t xml:space="preserve">Homologação — GP 2 vCore</t>
  </si>
  <si>
    <t xml:space="preserve">Desenvolvimento — serverless</t>
  </si>
  <si>
    <t xml:space="preserve">Desconto de reserva de 1 ano</t>
  </si>
  <si>
    <t xml:space="preserve">sobre compute</t>
  </si>
  <si>
    <t xml:space="preserve">Reserva de 1 ano no General Purpose economiza = 33% sobre o pagamento por uso</t>
  </si>
  <si>
    <t xml:space="preserve">Armazenamento de produção</t>
  </si>
  <si>
    <t xml:space="preserve">GB</t>
  </si>
  <si>
    <t xml:space="preserve">Preço do armazenamento (zone-redundant)</t>
  </si>
  <si>
    <t xml:space="preserve">US$/GB/mês</t>
  </si>
  <si>
    <t xml:space="preserve">US$ 0,12 local · US$ 0,18 zona · US$ 0,24 geográfico</t>
  </si>
  <si>
    <t xml:space="preserve">Armazenamento de backup</t>
  </si>
  <si>
    <t xml:space="preserve">Preço do backup</t>
  </si>
  <si>
    <t xml:space="preserve">OpenShift — preços ROSA e infraestrutura AWS</t>
  </si>
  <si>
    <t xml:space="preserve">Taxa de cluster ROSA</t>
  </si>
  <si>
    <t xml:space="preserve">US$/ano</t>
  </si>
  <si>
    <t xml:space="preserve">US$ 0,03/hora · preços públicos Red Hat OpenShift Service on AWS</t>
  </si>
  <si>
    <t xml:space="preserve">Worker node 4 vCPU, reserva de 1 ano</t>
  </si>
  <si>
    <t xml:space="preserve">US$ 0,114 por 4vCPU/hora reservado · contra US$ 0,171 sob demanda</t>
  </si>
  <si>
    <t xml:space="preserve">Instância EC2 grande (4 vCPU)</t>
  </si>
  <si>
    <t xml:space="preserve">Estimativa a cotar · classe m5.xlarge reservada 1 ano</t>
  </si>
  <si>
    <t xml:space="preserve">Instância EC2 média (2 vCPU)</t>
  </si>
  <si>
    <t xml:space="preserve">Estimativa a cotar · classe m5.large reservada 1 ano</t>
  </si>
  <si>
    <t xml:space="preserve">Preço do disco EBS</t>
  </si>
  <si>
    <t xml:space="preserve">NAT gateway</t>
  </si>
  <si>
    <t xml:space="preserve">US$/ano cada</t>
  </si>
  <si>
    <t xml:space="preserve">US$ 0,045/hora x 8.760 horas</t>
  </si>
  <si>
    <t xml:space="preserve">Load balancer</t>
  </si>
  <si>
    <t xml:space="preserve">US$ 0,0225/hora x 8.760 horas</t>
  </si>
  <si>
    <t xml:space="preserve">Transferência de dados — produção</t>
  </si>
  <si>
    <t xml:space="preserve">Operação</t>
  </si>
  <si>
    <t xml:space="preserve">Observabilidade e APM</t>
  </si>
  <si>
    <t xml:space="preserve">Estimativa a cotar · monitoramento de aplicação e de modelo</t>
  </si>
  <si>
    <t xml:space="preserve">Suporte enterprise</t>
  </si>
  <si>
    <t xml:space="preserve">sobre infra</t>
  </si>
  <si>
    <t xml:space="preserve">Percentual usual de contrato de suporte sobre gasto de nuvem</t>
  </si>
  <si>
    <t xml:space="preserve">Margens de contingência</t>
  </si>
  <si>
    <t xml:space="preserve">Cenário conservador</t>
  </si>
  <si>
    <t xml:space="preserve">sobre a base</t>
  </si>
  <si>
    <t xml:space="preserve">Cenário pior caso</t>
  </si>
  <si>
    <t xml:space="preserve">Dimensionamento de Infraestrutura</t>
  </si>
  <si>
    <t xml:space="preserve">Um cluster ROSA exige 3 nós de control plane, 2 a 3 de infraestrutura e no mínimo 2 workers (3 em multi-AZ).</t>
  </si>
  <si>
    <t xml:space="preserve">Zona única não é recomendada para produção. Daí os dois clusters: produção multi-AZ e não-produção.</t>
  </si>
  <si>
    <t xml:space="preserve">1. Cluster OpenShift — produção (multi-AZ)</t>
  </si>
  <si>
    <t xml:space="preserve">Componente</t>
  </si>
  <si>
    <t xml:space="preserve">Qtd</t>
  </si>
  <si>
    <t xml:space="preserve">Preço unitário</t>
  </si>
  <si>
    <t xml:space="preserve">Custo anual US$</t>
  </si>
  <si>
    <t xml:space="preserve">Observação</t>
  </si>
  <si>
    <t xml:space="preserve">Taxa de gerenciamento Red Hat</t>
  </si>
  <si>
    <t xml:space="preserve">Worker nodes — licença ROSA</t>
  </si>
  <si>
    <t xml:space="preserve">Mínimo de 3 workers em multi-AZ</t>
  </si>
  <si>
    <t xml:space="preserve">Control plane — instâncias EC2</t>
  </si>
  <si>
    <t xml:space="preserve">Três nós obrigatórios por cluster</t>
  </si>
  <si>
    <t xml:space="preserve">Infra nodes — instâncias EC2</t>
  </si>
  <si>
    <t xml:space="preserve">Registry, router e monitoramento</t>
  </si>
  <si>
    <t xml:space="preserve">Worker nodes — instâncias EC2</t>
  </si>
  <si>
    <t xml:space="preserve">Infraestrutura sob a licença ROSA</t>
  </si>
  <si>
    <t xml:space="preserve">Discos EBS (200 GB x 9 nós x 12 meses)</t>
  </si>
  <si>
    <t xml:space="preserve">GB-mês x preço</t>
  </si>
  <si>
    <t xml:space="preserve">NAT gateway (1 por zona)</t>
  </si>
  <si>
    <t xml:space="preserve">Três zonas de disponibilidade</t>
  </si>
  <si>
    <t xml:space="preserve">Load balancers</t>
  </si>
  <si>
    <t xml:space="preserve">API e router</t>
  </si>
  <si>
    <t xml:space="preserve">Transferência de dados</t>
  </si>
  <si>
    <t xml:space="preserve">Estimativa anual</t>
  </si>
  <si>
    <t xml:space="preserve">SUBTOTAL — CLUSTER DE PRODUÇÃO</t>
  </si>
  <si>
    <t xml:space="preserve">2. Cluster OpenShift — desenvolvimento e homologação (AZ única)</t>
  </si>
  <si>
    <t xml:space="preserve">Mínimo de 2 workers em zona única</t>
  </si>
  <si>
    <t xml:space="preserve">Três nós obrigatórios, classe menor</t>
  </si>
  <si>
    <t xml:space="preserve">Mínimo de dois nós de infraestrutura</t>
  </si>
  <si>
    <t xml:space="preserve">Discos EBS (100 GB x 7 nós x 12 meses)</t>
  </si>
  <si>
    <t xml:space="preserve">Zona única</t>
  </si>
  <si>
    <t xml:space="preserve">Router</t>
  </si>
  <si>
    <t xml:space="preserve">SUBTOTAL — CLUSTER DE NÃO-PRODUÇÃO</t>
  </si>
  <si>
    <t xml:space="preserve">3. Azure SQL Database</t>
  </si>
  <si>
    <t xml:space="preserve">Meses</t>
  </si>
  <si>
    <t xml:space="preserve">Preço mensal</t>
  </si>
  <si>
    <t xml:space="preserve">Produção — compute com reserva de 1 ano</t>
  </si>
  <si>
    <t xml:space="preserve">GP 4 vCore com redundância de zona</t>
  </si>
  <si>
    <t xml:space="preserve">Homologação — compute com reserva</t>
  </si>
  <si>
    <t xml:space="preserve">GP 2 vCore</t>
  </si>
  <si>
    <t xml:space="preserve">Desenvolvimento — compute serverless</t>
  </si>
  <si>
    <t xml:space="preserve">Sem reserva: consumo intermitente</t>
  </si>
  <si>
    <t xml:space="preserve">SUBTOTAL — COMPUTE (custo fixo)</t>
  </si>
  <si>
    <t xml:space="preserve">Armazenamento de dados</t>
  </si>
  <si>
    <t xml:space="preserve">GB x 12 meses x preço zone-redundant</t>
  </si>
  <si>
    <t xml:space="preserve">Retenção para auditoria</t>
  </si>
  <si>
    <t xml:space="preserve">SUBTOTAL — ARMAZENAMENTO (custo variável)</t>
  </si>
  <si>
    <t xml:space="preserve">4. Demais serviços</t>
  </si>
  <si>
    <t xml:space="preserve">Assentos x 12 meses</t>
  </si>
  <si>
    <t xml:space="preserve">Percentual sobre o gasto de nuvem</t>
  </si>
  <si>
    <t xml:space="preserve">5. Consolidação</t>
  </si>
  <si>
    <t xml:space="preserve">Bloco</t>
  </si>
  <si>
    <t xml:space="preserve">R$/ano</t>
  </si>
  <si>
    <t xml:space="preserve">Cluster OpenShift — produção</t>
  </si>
  <si>
    <t xml:space="preserve">Cluster OpenShift — não-produção</t>
  </si>
  <si>
    <t xml:space="preserve">Azure SQL — compute</t>
  </si>
  <si>
    <t xml:space="preserve">Azure SQL — armazenamento e backup</t>
  </si>
  <si>
    <t xml:space="preserve">TOTAL DE INFRAESTRUTURA</t>
  </si>
  <si>
    <t xml:space="preserve">Orçamento do Projeto Implementado — 12 meses</t>
  </si>
  <si>
    <t xml:space="preserve">Calculado a partir das abas Premissas e Infraestrutura.</t>
  </si>
  <si>
    <t xml:space="preserve">1. CAPEX — investimento inicial</t>
  </si>
  <si>
    <t xml:space="preserve">Item</t>
  </si>
  <si>
    <t xml:space="preserve">Valor</t>
  </si>
  <si>
    <t xml:space="preserve">Cálculo</t>
  </si>
  <si>
    <t xml:space="preserve">Produtização da aplicação (regime PJ)</t>
  </si>
  <si>
    <t xml:space="preserve">Salário x 2,5 meses x 2 desenvolvedores</t>
  </si>
  <si>
    <t xml:space="preserve">TOTAL CAPEX</t>
  </si>
  <si>
    <t xml:space="preserve">2. OPEX anual — custos fixos</t>
  </si>
  <si>
    <t xml:space="preserve">Valor anual</t>
  </si>
  <si>
    <t xml:space="preserve">Sustentação da aplicação</t>
  </si>
  <si>
    <t xml:space="preserve">Horas/mês x valor-hora x 12</t>
  </si>
  <si>
    <t xml:space="preserve">Retreinamento do modelo</t>
  </si>
  <si>
    <t xml:space="preserve">Ciclos x horas por ciclo x valor-hora de cientista de dados</t>
  </si>
  <si>
    <t xml:space="preserve">TOTAL OPEX FIXO</t>
  </si>
  <si>
    <t xml:space="preserve">3. OPEX anual — custos variáveis</t>
  </si>
  <si>
    <t xml:space="preserve">Por porta</t>
  </si>
  <si>
    <t xml:space="preserve">Escala com o volume de dados e, portanto, com as portas</t>
  </si>
  <si>
    <t xml:space="preserve">TOTAL OPEX VARIÁVEL</t>
  </si>
  <si>
    <t xml:space="preserve">4. Itens avaliados sem custo incremental</t>
  </si>
  <si>
    <t xml:space="preserve">Justificativa</t>
  </si>
  <si>
    <t xml:space="preserve">Atualização e disponibilização dos dados</t>
  </si>
  <si>
    <t xml:space="preserve">Rotina já executada por equipe contratada</t>
  </si>
  <si>
    <t xml:space="preserve">Validação operacional das previsões</t>
  </si>
  <si>
    <t xml:space="preserve">Extensão de informações já analisadas</t>
  </si>
  <si>
    <t xml:space="preserve">Docker e bibliotecas open source</t>
  </si>
  <si>
    <t xml:space="preserve">Licenciamento gratuito</t>
  </si>
  <si>
    <t xml:space="preserve">Adequação à LGPD</t>
  </si>
  <si>
    <t xml:space="preserve">Dados operacionais de equipamento, sem dados pessoais</t>
  </si>
  <si>
    <t xml:space="preserve">Treinamento de usuários</t>
  </si>
  <si>
    <t xml:space="preserve">Equipe já familiarizada com os indicadores</t>
  </si>
  <si>
    <t xml:space="preserve">Categoria</t>
  </si>
  <si>
    <t xml:space="preserve">Participação</t>
  </si>
  <si>
    <t xml:space="preserve">CAPEX — investimento inicial</t>
  </si>
  <si>
    <t xml:space="preserve">OPEX fixo anual</t>
  </si>
  <si>
    <t xml:space="preserve">OPEX variável anual</t>
  </si>
  <si>
    <t xml:space="preserve">OPEX total anual</t>
  </si>
  <si>
    <t xml:space="preserve">CUSTO TOTAL DO ANO 1</t>
  </si>
  <si>
    <t xml:space="preserve">Custo recorrente a partir do ano 2</t>
  </si>
  <si>
    <t xml:space="preserve">O CAPEX não se repete</t>
  </si>
  <si>
    <t xml:space="preserve">Cronograma de Desembolso — 12 meses</t>
  </si>
  <si>
    <t xml:space="preserve">Produtização distribuída nos 3 primeiros meses. Retreinamento nos meses 3, 6, 9 e 12.</t>
  </si>
  <si>
    <t xml:space="preserve">Mês</t>
  </si>
  <si>
    <t xml:space="preserve">Produtização</t>
  </si>
  <si>
    <t xml:space="preserve">Infraestrutura</t>
  </si>
  <si>
    <t xml:space="preserve">Sustentação</t>
  </si>
  <si>
    <t xml:space="preserve">Retreinamento</t>
  </si>
  <si>
    <t xml:space="preserve">Suporte</t>
  </si>
  <si>
    <t xml:space="preserve">Total do mês</t>
  </si>
  <si>
    <t xml:space="preserve">Acumulado</t>
  </si>
  <si>
    <t xml:space="preserve">Concentração do desembolso</t>
  </si>
  <si>
    <t xml:space="preserve">Meses 1 a 3 — implantação</t>
  </si>
  <si>
    <t xml:space="preserve">Meses 4 a 12 — operação</t>
  </si>
  <si>
    <t xml:space="preserve">Custo mensal em regime</t>
  </si>
  <si>
    <t xml:space="preserve">Cenários de Contingência e Sensibilidade</t>
  </si>
  <si>
    <t xml:space="preserve">1. Margens percentuais</t>
  </si>
  <si>
    <t xml:space="preserve">Cenário</t>
  </si>
  <si>
    <t xml:space="preserve">Custo em 12 meses</t>
  </si>
  <si>
    <t xml:space="preserve">Variação</t>
  </si>
  <si>
    <t xml:space="preserve">Critério</t>
  </si>
  <si>
    <t xml:space="preserve">Base</t>
  </si>
  <si>
    <t xml:space="preserve">Estimativa central do dimensionamento de produção</t>
  </si>
  <si>
    <t xml:space="preserve">Conservador</t>
  </si>
  <si>
    <t xml:space="preserve">Pior caso</t>
  </si>
  <si>
    <t xml:space="preserve">2. Regime de contratação da mão de obra</t>
  </si>
  <si>
    <t xml:space="preserve">Regime PJ (base)</t>
  </si>
  <si>
    <t xml:space="preserve">Regime CLT</t>
  </si>
  <si>
    <t xml:space="preserve">CAPEX — produtização</t>
  </si>
  <si>
    <t xml:space="preserve">CAPEX — segurança</t>
  </si>
  <si>
    <t xml:space="preserve">TOTAL EM 12 MESES</t>
  </si>
  <si>
    <t xml:space="preserve">Diferença</t>
  </si>
  <si>
    <t xml:space="preserve">3. Sensibilidade cambial</t>
  </si>
  <si>
    <t xml:space="preserve">Toda a infraestrutura é denominada em dólar. Mão de obra e segurança são em real.</t>
  </si>
  <si>
    <t xml:space="preserve">Cotação (R$/US$)</t>
  </si>
  <si>
    <t xml:space="preserve">Infraestrutura em R$</t>
  </si>
  <si>
    <t xml:space="preserve">Custo total ano 1</t>
  </si>
  <si>
    <t xml:space="preserve">Variação sobre a base</t>
  </si>
  <si>
    <t xml:space="preserve">4. Sensibilidade ao número de ambientes</t>
  </si>
  <si>
    <t xml:space="preserve">O cluster de não-produção é a linha mais facilmente questionável do orçamento.</t>
  </si>
  <si>
    <t xml:space="preserve">Configuração</t>
  </si>
  <si>
    <t xml:space="preserve">Com cluster de não-produção (base)</t>
  </si>
  <si>
    <t xml:space="preserve">Sem cluster de não-produção</t>
  </si>
  <si>
    <t xml:space="preserve">Não recomendado: implica testar em produção</t>
  </si>
  <si>
    <t xml:space="preserve">5. Resumo</t>
  </si>
  <si>
    <t xml:space="preserve">Contratação CLT</t>
  </si>
  <si>
    <t xml:space="preserve">Custo recorrente do ano 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</si>
</sst>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&quot;(R$ &quot;#,##0.00\);\-"/>
    <numFmt numFmtId="166" formatCode="#,##0"/>
    <numFmt numFmtId="167" formatCode="&quot;R$ &quot;#,##0;&quot;(R$ &quot;#,##0\);\-"/>
    <numFmt numFmtId="168" formatCode="#,##0.00"/>
    <numFmt numFmtId="169" formatCode="&quot;US$ &quot;#,##0.0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1B4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A6"/>
        <bgColor rgb="FFF2F1F5"/>
      </patternFill>
    </fill>
    <fill>
      <patternFill patternType="solid">
        <fgColor rgb="FFF2F1F5"/>
        <bgColor rgb="FFFFFFFF"/>
      </patternFill>
    </fill>
    <fill>
      <patternFill patternType="solid">
        <fgColor rgb="FF241B42"/>
        <bgColor rgb="FF003366"/>
      </patternFill>
    </fill>
    <fill>
      <patternFill patternType="solid">
        <fgColor rgb="FF4A3F6B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1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A3F6B"/>
      <rgbColor rgb="FF241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8" customFormat="false" ht="15" hidden="false" customHeight="false" outlineLevel="0" collapsed="false">
      <c r="A8" s="5" t="s">
        <v>5</v>
      </c>
      <c r="B8" s="5"/>
      <c r="C8" s="5"/>
      <c r="D8" s="5"/>
    </row>
    <row r="9" customFormat="false" ht="15" hidden="false" customHeight="false" outlineLevel="0" collapsed="false">
      <c r="A9" s="6" t="s">
        <v>6</v>
      </c>
      <c r="B9" s="7" t="n">
        <v>5.1</v>
      </c>
      <c r="C9" s="8" t="s">
        <v>7</v>
      </c>
      <c r="D9" s="2" t="s">
        <v>8</v>
      </c>
    </row>
    <row r="10" customFormat="false" ht="15" hidden="false" customHeight="false" outlineLevel="0" collapsed="false">
      <c r="A10" s="6" t="s">
        <v>9</v>
      </c>
      <c r="B10" s="9" t="n">
        <v>528</v>
      </c>
      <c r="C10" s="8" t="s">
        <v>10</v>
      </c>
      <c r="D10" s="2" t="s">
        <v>11</v>
      </c>
    </row>
    <row r="12" customFormat="false" ht="15" hidden="false" customHeight="false" outlineLevel="0" collapsed="false">
      <c r="A12" s="5" t="s">
        <v>12</v>
      </c>
      <c r="B12" s="5"/>
      <c r="C12" s="5"/>
      <c r="D12" s="5"/>
    </row>
    <row r="13" customFormat="false" ht="15" hidden="false" customHeight="false" outlineLevel="0" collapsed="false">
      <c r="A13" s="6" t="s">
        <v>13</v>
      </c>
      <c r="B13" s="10" t="n">
        <v>12000</v>
      </c>
      <c r="C13" s="8" t="s">
        <v>14</v>
      </c>
      <c r="D13" s="2" t="s">
        <v>15</v>
      </c>
    </row>
    <row r="14" customFormat="false" ht="15" hidden="false" customHeight="false" outlineLevel="0" collapsed="false">
      <c r="A14" s="6" t="s">
        <v>16</v>
      </c>
      <c r="B14" s="9" t="n">
        <v>2</v>
      </c>
      <c r="C14" s="8" t="s">
        <v>17</v>
      </c>
    </row>
    <row r="15" customFormat="false" ht="15" hidden="false" customHeight="false" outlineLevel="0" collapsed="false">
      <c r="A15" s="6" t="s">
        <v>18</v>
      </c>
      <c r="B15" s="11" t="n">
        <v>2.5</v>
      </c>
      <c r="C15" s="8" t="s">
        <v>19</v>
      </c>
      <c r="D15" s="2" t="s">
        <v>20</v>
      </c>
    </row>
    <row r="16" customFormat="false" ht="15" hidden="false" customHeight="false" outlineLevel="0" collapsed="false">
      <c r="A16" s="6" t="s">
        <v>21</v>
      </c>
      <c r="B16" s="11" t="n">
        <v>1.8</v>
      </c>
      <c r="C16" s="8" t="s">
        <v>22</v>
      </c>
      <c r="D16" s="2" t="s">
        <v>23</v>
      </c>
    </row>
    <row r="18" customFormat="false" ht="15" hidden="false" customHeight="false" outlineLevel="0" collapsed="false">
      <c r="A18" s="5" t="s">
        <v>24</v>
      </c>
      <c r="B18" s="5"/>
      <c r="C18" s="5"/>
      <c r="D18" s="5"/>
    </row>
    <row r="19" customFormat="false" ht="15" hidden="false" customHeight="false" outlineLevel="0" collapsed="false">
      <c r="A19" s="6" t="s">
        <v>25</v>
      </c>
      <c r="B19" s="9" t="n">
        <v>16</v>
      </c>
      <c r="C19" s="8" t="s">
        <v>26</v>
      </c>
      <c r="D19" s="2" t="s">
        <v>27</v>
      </c>
    </row>
    <row r="20" customFormat="false" ht="15" hidden="false" customHeight="false" outlineLevel="0" collapsed="false">
      <c r="A20" s="6" t="s">
        <v>28</v>
      </c>
      <c r="B20" s="10" t="n">
        <v>70</v>
      </c>
      <c r="C20" s="8" t="s">
        <v>29</v>
      </c>
    </row>
    <row r="21" customFormat="false" ht="15" hidden="false" customHeight="false" outlineLevel="0" collapsed="false">
      <c r="A21" s="6" t="s">
        <v>30</v>
      </c>
      <c r="B21" s="9" t="n">
        <v>4</v>
      </c>
      <c r="C21" s="8" t="s">
        <v>31</v>
      </c>
      <c r="D21" s="2" t="s">
        <v>32</v>
      </c>
    </row>
    <row r="22" customFormat="false" ht="15" hidden="false" customHeight="false" outlineLevel="0" collapsed="false">
      <c r="A22" s="6" t="s">
        <v>33</v>
      </c>
      <c r="B22" s="9" t="n">
        <v>40</v>
      </c>
      <c r="C22" s="8" t="s">
        <v>34</v>
      </c>
    </row>
    <row r="23" customFormat="false" ht="15" hidden="false" customHeight="false" outlineLevel="0" collapsed="false">
      <c r="A23" s="6" t="s">
        <v>35</v>
      </c>
      <c r="B23" s="10" t="n">
        <v>90</v>
      </c>
      <c r="C23" s="8" t="s">
        <v>29</v>
      </c>
      <c r="D23" s="2" t="s">
        <v>36</v>
      </c>
    </row>
    <row r="25" customFormat="false" ht="15" hidden="false" customHeight="false" outlineLevel="0" collapsed="false">
      <c r="A25" s="5" t="s">
        <v>37</v>
      </c>
      <c r="B25" s="5"/>
      <c r="C25" s="5"/>
      <c r="D25" s="5"/>
    </row>
    <row r="26" customFormat="false" ht="15" hidden="false" customHeight="false" outlineLevel="0" collapsed="false">
      <c r="A26" s="6" t="s">
        <v>38</v>
      </c>
      <c r="B26" s="10" t="n">
        <v>25000</v>
      </c>
      <c r="C26" s="8" t="s">
        <v>39</v>
      </c>
      <c r="D26" s="2" t="s">
        <v>40</v>
      </c>
    </row>
    <row r="28" customFormat="false" ht="15" hidden="false" customHeight="false" outlineLevel="0" collapsed="false">
      <c r="A28" s="5" t="s">
        <v>41</v>
      </c>
      <c r="B28" s="5"/>
      <c r="C28" s="5"/>
      <c r="D28" s="5"/>
    </row>
    <row r="29" customFormat="false" ht="15" hidden="false" customHeight="false" outlineLevel="0" collapsed="false">
      <c r="A29" s="6" t="s">
        <v>42</v>
      </c>
      <c r="B29" s="12" t="n">
        <v>20</v>
      </c>
      <c r="C29" s="8" t="s">
        <v>43</v>
      </c>
      <c r="D29" s="2" t="s">
        <v>44</v>
      </c>
    </row>
    <row r="30" customFormat="false" ht="15" hidden="false" customHeight="false" outlineLevel="0" collapsed="false">
      <c r="A30" s="6" t="s">
        <v>45</v>
      </c>
      <c r="B30" s="9" t="n">
        <v>3</v>
      </c>
      <c r="C30" s="8" t="s">
        <v>46</v>
      </c>
    </row>
    <row r="32" customFormat="false" ht="15" hidden="false" customHeight="false" outlineLevel="0" collapsed="false">
      <c r="A32" s="5" t="s">
        <v>47</v>
      </c>
      <c r="B32" s="5"/>
      <c r="C32" s="5"/>
      <c r="D32" s="5"/>
    </row>
    <row r="33" customFormat="false" ht="15" hidden="false" customHeight="false" outlineLevel="0" collapsed="false">
      <c r="A33" s="6" t="s">
        <v>48</v>
      </c>
      <c r="B33" s="12" t="n">
        <v>1000</v>
      </c>
      <c r="C33" s="8" t="s">
        <v>43</v>
      </c>
      <c r="D33" s="2" t="s">
        <v>49</v>
      </c>
    </row>
    <row r="34" customFormat="false" ht="15" hidden="false" customHeight="false" outlineLevel="0" collapsed="false">
      <c r="A34" s="6" t="s">
        <v>50</v>
      </c>
      <c r="B34" s="12" t="n">
        <v>365</v>
      </c>
      <c r="C34" s="8" t="s">
        <v>43</v>
      </c>
    </row>
    <row r="35" customFormat="false" ht="15" hidden="false" customHeight="false" outlineLevel="0" collapsed="false">
      <c r="A35" s="6" t="s">
        <v>51</v>
      </c>
      <c r="B35" s="12" t="n">
        <v>50</v>
      </c>
      <c r="C35" s="8" t="s">
        <v>43</v>
      </c>
    </row>
    <row r="36" customFormat="false" ht="15" hidden="false" customHeight="false" outlineLevel="0" collapsed="false">
      <c r="A36" s="6" t="s">
        <v>52</v>
      </c>
      <c r="B36" s="13" t="n">
        <v>0.33</v>
      </c>
      <c r="C36" s="8" t="s">
        <v>53</v>
      </c>
      <c r="D36" s="2" t="s">
        <v>54</v>
      </c>
    </row>
    <row r="37" customFormat="false" ht="15" hidden="false" customHeight="false" outlineLevel="0" collapsed="false">
      <c r="A37" s="6" t="s">
        <v>55</v>
      </c>
      <c r="B37" s="9" t="n">
        <v>500</v>
      </c>
      <c r="C37" s="8" t="s">
        <v>56</v>
      </c>
    </row>
    <row r="38" customFormat="false" ht="15" hidden="false" customHeight="false" outlineLevel="0" collapsed="false">
      <c r="A38" s="6" t="s">
        <v>57</v>
      </c>
      <c r="B38" s="12" t="n">
        <v>0.18</v>
      </c>
      <c r="C38" s="8" t="s">
        <v>58</v>
      </c>
      <c r="D38" s="2" t="s">
        <v>59</v>
      </c>
    </row>
    <row r="39" customFormat="false" ht="15" hidden="false" customHeight="false" outlineLevel="0" collapsed="false">
      <c r="A39" s="6" t="s">
        <v>60</v>
      </c>
      <c r="B39" s="9" t="n">
        <v>1000</v>
      </c>
      <c r="C39" s="8" t="s">
        <v>56</v>
      </c>
    </row>
    <row r="40" customFormat="false" ht="15" hidden="false" customHeight="false" outlineLevel="0" collapsed="false">
      <c r="A40" s="6" t="s">
        <v>61</v>
      </c>
      <c r="B40" s="12" t="n">
        <v>0.12</v>
      </c>
      <c r="C40" s="8" t="s">
        <v>58</v>
      </c>
    </row>
    <row r="42" customFormat="false" ht="15" hidden="false" customHeight="false" outlineLevel="0" collapsed="false">
      <c r="A42" s="5" t="s">
        <v>62</v>
      </c>
      <c r="B42" s="5"/>
      <c r="C42" s="5"/>
      <c r="D42" s="5"/>
    </row>
    <row r="43" customFormat="false" ht="15" hidden="false" customHeight="false" outlineLevel="0" collapsed="false">
      <c r="A43" s="6" t="s">
        <v>63</v>
      </c>
      <c r="B43" s="12" t="n">
        <v>263</v>
      </c>
      <c r="C43" s="8" t="s">
        <v>64</v>
      </c>
      <c r="D43" s="2" t="s">
        <v>65</v>
      </c>
    </row>
    <row r="44" customFormat="false" ht="15" hidden="false" customHeight="false" outlineLevel="0" collapsed="false">
      <c r="A44" s="6" t="s">
        <v>66</v>
      </c>
      <c r="B44" s="12" t="n">
        <v>998</v>
      </c>
      <c r="C44" s="8" t="s">
        <v>64</v>
      </c>
      <c r="D44" s="2" t="s">
        <v>67</v>
      </c>
    </row>
    <row r="45" customFormat="false" ht="15" hidden="false" customHeight="false" outlineLevel="0" collapsed="false">
      <c r="A45" s="6" t="s">
        <v>68</v>
      </c>
      <c r="B45" s="12" t="n">
        <v>1200</v>
      </c>
      <c r="C45" s="8" t="s">
        <v>64</v>
      </c>
      <c r="D45" s="2" t="s">
        <v>69</v>
      </c>
    </row>
    <row r="46" customFormat="false" ht="15" hidden="false" customHeight="false" outlineLevel="0" collapsed="false">
      <c r="A46" s="6" t="s">
        <v>70</v>
      </c>
      <c r="B46" s="12" t="n">
        <v>600</v>
      </c>
      <c r="C46" s="8" t="s">
        <v>64</v>
      </c>
      <c r="D46" s="2" t="s">
        <v>71</v>
      </c>
    </row>
    <row r="47" customFormat="false" ht="15" hidden="false" customHeight="false" outlineLevel="0" collapsed="false">
      <c r="A47" s="6" t="s">
        <v>72</v>
      </c>
      <c r="B47" s="12" t="n">
        <v>0.08</v>
      </c>
      <c r="C47" s="8" t="s">
        <v>58</v>
      </c>
    </row>
    <row r="48" customFormat="false" ht="15" hidden="false" customHeight="false" outlineLevel="0" collapsed="false">
      <c r="A48" s="6" t="s">
        <v>73</v>
      </c>
      <c r="B48" s="12" t="n">
        <v>394.2</v>
      </c>
      <c r="C48" s="8" t="s">
        <v>74</v>
      </c>
      <c r="D48" s="2" t="s">
        <v>75</v>
      </c>
    </row>
    <row r="49" customFormat="false" ht="15" hidden="false" customHeight="false" outlineLevel="0" collapsed="false">
      <c r="A49" s="6" t="s">
        <v>76</v>
      </c>
      <c r="B49" s="12" t="n">
        <v>197.1</v>
      </c>
      <c r="C49" s="8" t="s">
        <v>74</v>
      </c>
      <c r="D49" s="2" t="s">
        <v>77</v>
      </c>
    </row>
    <row r="50" customFormat="false" ht="15" hidden="false" customHeight="false" outlineLevel="0" collapsed="false">
      <c r="A50" s="6" t="s">
        <v>78</v>
      </c>
      <c r="B50" s="12" t="n">
        <v>500</v>
      </c>
      <c r="C50" s="8" t="s">
        <v>64</v>
      </c>
    </row>
    <row r="52" customFormat="false" ht="15" hidden="false" customHeight="false" outlineLevel="0" collapsed="false">
      <c r="A52" s="5" t="s">
        <v>79</v>
      </c>
      <c r="B52" s="5"/>
      <c r="C52" s="5"/>
      <c r="D52" s="5"/>
    </row>
    <row r="53" customFormat="false" ht="15" hidden="false" customHeight="false" outlineLevel="0" collapsed="false">
      <c r="A53" s="6" t="s">
        <v>80</v>
      </c>
      <c r="B53" s="12" t="n">
        <v>200</v>
      </c>
      <c r="C53" s="8" t="s">
        <v>43</v>
      </c>
      <c r="D53" s="2" t="s">
        <v>81</v>
      </c>
    </row>
    <row r="54" customFormat="false" ht="15" hidden="false" customHeight="false" outlineLevel="0" collapsed="false">
      <c r="A54" s="6" t="s">
        <v>82</v>
      </c>
      <c r="B54" s="13" t="n">
        <v>0.1</v>
      </c>
      <c r="C54" s="8" t="s">
        <v>83</v>
      </c>
      <c r="D54" s="2" t="s">
        <v>84</v>
      </c>
    </row>
    <row r="56" customFormat="false" ht="15" hidden="false" customHeight="false" outlineLevel="0" collapsed="false">
      <c r="A56" s="5" t="s">
        <v>85</v>
      </c>
      <c r="B56" s="5"/>
      <c r="C56" s="5"/>
      <c r="D56" s="5"/>
    </row>
    <row r="57" customFormat="false" ht="15" hidden="false" customHeight="false" outlineLevel="0" collapsed="false">
      <c r="A57" s="6" t="s">
        <v>86</v>
      </c>
      <c r="B57" s="13" t="n">
        <v>0.05</v>
      </c>
      <c r="C57" s="8" t="s">
        <v>87</v>
      </c>
    </row>
    <row r="58" customFormat="false" ht="15" hidden="false" customHeight="false" outlineLevel="0" collapsed="false">
      <c r="A58" s="6" t="s">
        <v>88</v>
      </c>
      <c r="B58" s="13" t="n">
        <v>0.1</v>
      </c>
      <c r="C58" s="8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15" hidden="false" customHeight="false" outlineLevel="0" collapsed="false">
      <c r="A3" s="2" t="s">
        <v>91</v>
      </c>
    </row>
    <row r="5" customFormat="false" ht="15" hidden="false" customHeight="false" outlineLevel="0" collapsed="false">
      <c r="A5" s="5" t="s">
        <v>92</v>
      </c>
      <c r="B5" s="5"/>
      <c r="C5" s="5"/>
      <c r="D5" s="5"/>
      <c r="E5" s="5"/>
    </row>
    <row r="6" customFormat="false" ht="15" hidden="false" customHeight="false" outlineLevel="0" collapsed="false">
      <c r="A6" s="14" t="s">
        <v>93</v>
      </c>
      <c r="B6" s="14" t="s">
        <v>94</v>
      </c>
      <c r="C6" s="14" t="s">
        <v>95</v>
      </c>
      <c r="D6" s="14" t="s">
        <v>96</v>
      </c>
      <c r="E6" s="14" t="s">
        <v>97</v>
      </c>
    </row>
    <row r="7" customFormat="false" ht="15" hidden="false" customHeight="false" outlineLevel="0" collapsed="false">
      <c r="A7" s="6" t="s">
        <v>63</v>
      </c>
      <c r="B7" s="15" t="n">
        <v>1</v>
      </c>
      <c r="C7" s="16" t="n">
        <f aca="false">Premissas!$B$43</f>
        <v>263</v>
      </c>
      <c r="D7" s="16" t="n">
        <f aca="false">B7*C7</f>
        <v>263</v>
      </c>
      <c r="E7" s="2" t="s">
        <v>98</v>
      </c>
    </row>
    <row r="8" customFormat="false" ht="15" hidden="false" customHeight="false" outlineLevel="0" collapsed="false">
      <c r="A8" s="6" t="s">
        <v>99</v>
      </c>
      <c r="B8" s="15" t="n">
        <v>3</v>
      </c>
      <c r="C8" s="16" t="n">
        <f aca="false">Premissas!$B$44</f>
        <v>998</v>
      </c>
      <c r="D8" s="16" t="n">
        <f aca="false">B8*C8</f>
        <v>2994</v>
      </c>
      <c r="E8" s="2" t="s">
        <v>100</v>
      </c>
    </row>
    <row r="9" customFormat="false" ht="15" hidden="false" customHeight="false" outlineLevel="0" collapsed="false">
      <c r="A9" s="6" t="s">
        <v>101</v>
      </c>
      <c r="B9" s="15" t="n">
        <v>3</v>
      </c>
      <c r="C9" s="16" t="n">
        <f aca="false">Premissas!$B$45</f>
        <v>1200</v>
      </c>
      <c r="D9" s="16" t="n">
        <f aca="false">B9*C9</f>
        <v>3600</v>
      </c>
      <c r="E9" s="2" t="s">
        <v>102</v>
      </c>
    </row>
    <row r="10" customFormat="false" ht="15" hidden="false" customHeight="false" outlineLevel="0" collapsed="false">
      <c r="A10" s="6" t="s">
        <v>103</v>
      </c>
      <c r="B10" s="15" t="n">
        <v>3</v>
      </c>
      <c r="C10" s="16" t="n">
        <f aca="false">Premissas!$B$46</f>
        <v>600</v>
      </c>
      <c r="D10" s="16" t="n">
        <f aca="false">B10*C10</f>
        <v>1800</v>
      </c>
      <c r="E10" s="2" t="s">
        <v>104</v>
      </c>
    </row>
    <row r="11" customFormat="false" ht="15" hidden="false" customHeight="false" outlineLevel="0" collapsed="false">
      <c r="A11" s="6" t="s">
        <v>105</v>
      </c>
      <c r="B11" s="15" t="n">
        <v>3</v>
      </c>
      <c r="C11" s="16" t="n">
        <f aca="false">Premissas!$B$45</f>
        <v>1200</v>
      </c>
      <c r="D11" s="16" t="n">
        <f aca="false">B11*C11</f>
        <v>3600</v>
      </c>
      <c r="E11" s="2" t="s">
        <v>106</v>
      </c>
    </row>
    <row r="12" customFormat="false" ht="15" hidden="false" customHeight="false" outlineLevel="0" collapsed="false">
      <c r="A12" s="6" t="s">
        <v>107</v>
      </c>
      <c r="B12" s="15" t="n">
        <v>21600</v>
      </c>
      <c r="C12" s="16" t="n">
        <f aca="false">Premissas!$B$47</f>
        <v>0.08</v>
      </c>
      <c r="D12" s="16" t="n">
        <f aca="false">B12*C12</f>
        <v>1728</v>
      </c>
      <c r="E12" s="2" t="s">
        <v>108</v>
      </c>
    </row>
    <row r="13" customFormat="false" ht="15" hidden="false" customHeight="false" outlineLevel="0" collapsed="false">
      <c r="A13" s="6" t="s">
        <v>109</v>
      </c>
      <c r="B13" s="15" t="n">
        <v>3</v>
      </c>
      <c r="C13" s="16" t="n">
        <f aca="false">Premissas!$B$48</f>
        <v>394.2</v>
      </c>
      <c r="D13" s="16" t="n">
        <f aca="false">B13*C13</f>
        <v>1182.6</v>
      </c>
      <c r="E13" s="2" t="s">
        <v>110</v>
      </c>
    </row>
    <row r="14" customFormat="false" ht="15" hidden="false" customHeight="false" outlineLevel="0" collapsed="false">
      <c r="A14" s="6" t="s">
        <v>111</v>
      </c>
      <c r="B14" s="15" t="n">
        <v>2</v>
      </c>
      <c r="C14" s="16" t="n">
        <f aca="false">Premissas!$B$49</f>
        <v>197.1</v>
      </c>
      <c r="D14" s="16" t="n">
        <f aca="false">B14*C14</f>
        <v>394.2</v>
      </c>
      <c r="E14" s="2" t="s">
        <v>112</v>
      </c>
    </row>
    <row r="15" customFormat="false" ht="15" hidden="false" customHeight="false" outlineLevel="0" collapsed="false">
      <c r="A15" s="6" t="s">
        <v>113</v>
      </c>
      <c r="B15" s="15" t="n">
        <v>1</v>
      </c>
      <c r="C15" s="16" t="n">
        <f aca="false">Premissas!$B$50</f>
        <v>500</v>
      </c>
      <c r="D15" s="16" t="n">
        <f aca="false">B15*C15</f>
        <v>500</v>
      </c>
      <c r="E15" s="2" t="s">
        <v>114</v>
      </c>
    </row>
    <row r="16" customFormat="false" ht="15" hidden="false" customHeight="false" outlineLevel="0" collapsed="false">
      <c r="A16" s="17" t="s">
        <v>115</v>
      </c>
      <c r="D16" s="18" t="n">
        <f aca="false">SUM(D7:D15)</f>
        <v>16061.8</v>
      </c>
    </row>
    <row r="18" customFormat="false" ht="15" hidden="false" customHeight="false" outlineLevel="0" collapsed="false">
      <c r="A18" s="5" t="s">
        <v>116</v>
      </c>
      <c r="B18" s="5"/>
      <c r="C18" s="5"/>
      <c r="D18" s="5"/>
      <c r="E18" s="5"/>
    </row>
    <row r="19" customFormat="false" ht="15" hidden="false" customHeight="false" outlineLevel="0" collapsed="false">
      <c r="A19" s="14" t="s">
        <v>93</v>
      </c>
      <c r="B19" s="14" t="s">
        <v>94</v>
      </c>
      <c r="C19" s="14" t="s">
        <v>95</v>
      </c>
      <c r="D19" s="14" t="s">
        <v>96</v>
      </c>
      <c r="E19" s="14" t="s">
        <v>97</v>
      </c>
    </row>
    <row r="20" customFormat="false" ht="15" hidden="false" customHeight="false" outlineLevel="0" collapsed="false">
      <c r="A20" s="6" t="s">
        <v>63</v>
      </c>
      <c r="B20" s="15" t="n">
        <v>1</v>
      </c>
      <c r="C20" s="16" t="n">
        <f aca="false">Premissas!$B$43</f>
        <v>263</v>
      </c>
      <c r="D20" s="16" t="n">
        <f aca="false">B20*C20</f>
        <v>263</v>
      </c>
      <c r="E20" s="2" t="s">
        <v>98</v>
      </c>
    </row>
    <row r="21" customFormat="false" ht="15" hidden="false" customHeight="false" outlineLevel="0" collapsed="false">
      <c r="A21" s="6" t="s">
        <v>99</v>
      </c>
      <c r="B21" s="15" t="n">
        <v>2</v>
      </c>
      <c r="C21" s="16" t="n">
        <f aca="false">Premissas!$B$44</f>
        <v>998</v>
      </c>
      <c r="D21" s="16" t="n">
        <f aca="false">B21*C21</f>
        <v>1996</v>
      </c>
      <c r="E21" s="2" t="s">
        <v>117</v>
      </c>
    </row>
    <row r="22" customFormat="false" ht="15" hidden="false" customHeight="false" outlineLevel="0" collapsed="false">
      <c r="A22" s="6" t="s">
        <v>101</v>
      </c>
      <c r="B22" s="15" t="n">
        <v>3</v>
      </c>
      <c r="C22" s="16" t="n">
        <f aca="false">Premissas!$B$46</f>
        <v>600</v>
      </c>
      <c r="D22" s="16" t="n">
        <f aca="false">B22*C22</f>
        <v>1800</v>
      </c>
      <c r="E22" s="2" t="s">
        <v>118</v>
      </c>
    </row>
    <row r="23" customFormat="false" ht="15" hidden="false" customHeight="false" outlineLevel="0" collapsed="false">
      <c r="A23" s="6" t="s">
        <v>103</v>
      </c>
      <c r="B23" s="15" t="n">
        <v>2</v>
      </c>
      <c r="C23" s="16" t="n">
        <f aca="false">Premissas!$B$46</f>
        <v>600</v>
      </c>
      <c r="D23" s="16" t="n">
        <f aca="false">B23*C23</f>
        <v>1200</v>
      </c>
      <c r="E23" s="2" t="s">
        <v>119</v>
      </c>
    </row>
    <row r="24" customFormat="false" ht="15" hidden="false" customHeight="false" outlineLevel="0" collapsed="false">
      <c r="A24" s="6" t="s">
        <v>105</v>
      </c>
      <c r="B24" s="15" t="n">
        <v>2</v>
      </c>
      <c r="C24" s="16" t="n">
        <f aca="false">Premissas!$B$45</f>
        <v>1200</v>
      </c>
      <c r="D24" s="16" t="n">
        <f aca="false">B24*C24</f>
        <v>2400</v>
      </c>
      <c r="E24" s="2" t="s">
        <v>106</v>
      </c>
    </row>
    <row r="25" customFormat="false" ht="15" hidden="false" customHeight="false" outlineLevel="0" collapsed="false">
      <c r="A25" s="6" t="s">
        <v>120</v>
      </c>
      <c r="B25" s="15" t="n">
        <v>8400</v>
      </c>
      <c r="C25" s="16" t="n">
        <f aca="false">Premissas!$B$47</f>
        <v>0.08</v>
      </c>
      <c r="D25" s="16" t="n">
        <f aca="false">B25*C25</f>
        <v>672</v>
      </c>
      <c r="E25" s="2" t="s">
        <v>108</v>
      </c>
    </row>
    <row r="26" customFormat="false" ht="15" hidden="false" customHeight="false" outlineLevel="0" collapsed="false">
      <c r="A26" s="6" t="s">
        <v>73</v>
      </c>
      <c r="B26" s="15" t="n">
        <v>1</v>
      </c>
      <c r="C26" s="16" t="n">
        <f aca="false">Premissas!$B$48</f>
        <v>394.2</v>
      </c>
      <c r="D26" s="16" t="n">
        <f aca="false">B26*C26</f>
        <v>394.2</v>
      </c>
      <c r="E26" s="2" t="s">
        <v>121</v>
      </c>
    </row>
    <row r="27" customFormat="false" ht="15" hidden="false" customHeight="false" outlineLevel="0" collapsed="false">
      <c r="A27" s="6" t="s">
        <v>76</v>
      </c>
      <c r="B27" s="15" t="n">
        <v>1</v>
      </c>
      <c r="C27" s="16" t="n">
        <f aca="false">Premissas!$B$49</f>
        <v>197.1</v>
      </c>
      <c r="D27" s="16" t="n">
        <f aca="false">B27*C27</f>
        <v>197.1</v>
      </c>
      <c r="E27" s="2" t="s">
        <v>122</v>
      </c>
    </row>
    <row r="28" customFormat="false" ht="15" hidden="false" customHeight="false" outlineLevel="0" collapsed="false">
      <c r="A28" s="17" t="s">
        <v>123</v>
      </c>
      <c r="D28" s="18" t="n">
        <f aca="false">SUM(D20:D27)</f>
        <v>8922.3</v>
      </c>
    </row>
    <row r="30" customFormat="false" ht="15" hidden="false" customHeight="false" outlineLevel="0" collapsed="false">
      <c r="A30" s="5" t="s">
        <v>124</v>
      </c>
      <c r="B30" s="5"/>
      <c r="C30" s="5"/>
      <c r="D30" s="5"/>
      <c r="E30" s="5"/>
    </row>
    <row r="31" customFormat="false" ht="15" hidden="false" customHeight="false" outlineLevel="0" collapsed="false">
      <c r="A31" s="14" t="s">
        <v>93</v>
      </c>
      <c r="B31" s="14" t="s">
        <v>125</v>
      </c>
      <c r="C31" s="14" t="s">
        <v>126</v>
      </c>
      <c r="D31" s="14" t="s">
        <v>96</v>
      </c>
      <c r="E31" s="14" t="s">
        <v>97</v>
      </c>
    </row>
    <row r="32" customFormat="false" ht="15" hidden="false" customHeight="false" outlineLevel="0" collapsed="false">
      <c r="A32" s="6" t="s">
        <v>127</v>
      </c>
      <c r="B32" s="15" t="n">
        <v>12</v>
      </c>
      <c r="C32" s="16" t="n">
        <f aca="false">Premissas!$B$33*(1-Premissas!$B$36)</f>
        <v>670</v>
      </c>
      <c r="D32" s="16" t="n">
        <f aca="false">B32*C32</f>
        <v>8040</v>
      </c>
      <c r="E32" s="2" t="s">
        <v>128</v>
      </c>
    </row>
    <row r="33" customFormat="false" ht="15" hidden="false" customHeight="false" outlineLevel="0" collapsed="false">
      <c r="A33" s="6" t="s">
        <v>129</v>
      </c>
      <c r="B33" s="15" t="n">
        <v>12</v>
      </c>
      <c r="C33" s="16" t="n">
        <f aca="false">Premissas!$B$34*(1-Premissas!$B$36)</f>
        <v>244.55</v>
      </c>
      <c r="D33" s="16" t="n">
        <f aca="false">B33*C33</f>
        <v>2934.6</v>
      </c>
      <c r="E33" s="2" t="s">
        <v>130</v>
      </c>
    </row>
    <row r="34" customFormat="false" ht="15" hidden="false" customHeight="false" outlineLevel="0" collapsed="false">
      <c r="A34" s="6" t="s">
        <v>131</v>
      </c>
      <c r="B34" s="15" t="n">
        <v>12</v>
      </c>
      <c r="C34" s="16" t="n">
        <f aca="false">Premissas!$B$35</f>
        <v>50</v>
      </c>
      <c r="D34" s="16" t="n">
        <f aca="false">B34*C34</f>
        <v>600</v>
      </c>
      <c r="E34" s="2" t="s">
        <v>132</v>
      </c>
    </row>
    <row r="35" customFormat="false" ht="15" hidden="false" customHeight="false" outlineLevel="0" collapsed="false">
      <c r="A35" s="17" t="s">
        <v>133</v>
      </c>
      <c r="D35" s="18" t="n">
        <f aca="false">SUM(D32:D34)</f>
        <v>11574.6</v>
      </c>
    </row>
    <row r="36" customFormat="false" ht="15" hidden="false" customHeight="false" outlineLevel="0" collapsed="false">
      <c r="A36" s="6" t="s">
        <v>134</v>
      </c>
      <c r="B36" s="15" t="n">
        <f aca="false">Premissas!$B$37*12</f>
        <v>6000</v>
      </c>
      <c r="C36" s="16" t="n">
        <f aca="false">Premissas!$B$38</f>
        <v>0.18</v>
      </c>
      <c r="D36" s="16" t="n">
        <f aca="false">B36*C36</f>
        <v>1080</v>
      </c>
      <c r="E36" s="2" t="s">
        <v>135</v>
      </c>
    </row>
    <row r="37" customFormat="false" ht="15" hidden="false" customHeight="false" outlineLevel="0" collapsed="false">
      <c r="A37" s="6" t="s">
        <v>60</v>
      </c>
      <c r="B37" s="15" t="n">
        <f aca="false">Premissas!$B$39*12</f>
        <v>12000</v>
      </c>
      <c r="C37" s="16" t="n">
        <f aca="false">Premissas!$B$40</f>
        <v>0.12</v>
      </c>
      <c r="D37" s="16" t="n">
        <f aca="false">B37*C37</f>
        <v>1440</v>
      </c>
      <c r="E37" s="2" t="s">
        <v>136</v>
      </c>
    </row>
    <row r="38" customFormat="false" ht="15" hidden="false" customHeight="false" outlineLevel="0" collapsed="false">
      <c r="A38" s="17" t="s">
        <v>137</v>
      </c>
      <c r="D38" s="18" t="n">
        <f aca="false">SUM(D36:D37)</f>
        <v>2520</v>
      </c>
    </row>
    <row r="40" customFormat="false" ht="15" hidden="false" customHeight="false" outlineLevel="0" collapsed="false">
      <c r="A40" s="5" t="s">
        <v>138</v>
      </c>
      <c r="B40" s="5"/>
      <c r="C40" s="5"/>
      <c r="D40" s="5"/>
      <c r="E40" s="5"/>
    </row>
    <row r="41" customFormat="false" ht="15" hidden="false" customHeight="false" outlineLevel="0" collapsed="false">
      <c r="A41" s="14" t="s">
        <v>93</v>
      </c>
      <c r="B41" s="14" t="s">
        <v>94</v>
      </c>
      <c r="C41" s="14" t="s">
        <v>95</v>
      </c>
      <c r="D41" s="14" t="s">
        <v>96</v>
      </c>
      <c r="E41" s="14" t="s">
        <v>97</v>
      </c>
    </row>
    <row r="42" customFormat="false" ht="15" hidden="false" customHeight="false" outlineLevel="0" collapsed="false">
      <c r="A42" s="6" t="s">
        <v>42</v>
      </c>
      <c r="B42" s="15" t="n">
        <f aca="false">Premissas!$B$30*12</f>
        <v>36</v>
      </c>
      <c r="C42" s="16" t="n">
        <f aca="false">Premissas!$B$29</f>
        <v>20</v>
      </c>
      <c r="D42" s="16" t="n">
        <f aca="false">B42*C42</f>
        <v>720</v>
      </c>
      <c r="E42" s="2" t="s">
        <v>139</v>
      </c>
    </row>
    <row r="43" customFormat="false" ht="15" hidden="false" customHeight="false" outlineLevel="0" collapsed="false">
      <c r="A43" s="6" t="s">
        <v>80</v>
      </c>
      <c r="B43" s="15" t="n">
        <v>12</v>
      </c>
      <c r="C43" s="16" t="n">
        <f aca="false">Premissas!$B$53</f>
        <v>200</v>
      </c>
      <c r="D43" s="16" t="n">
        <f aca="false">B43*C43</f>
        <v>2400</v>
      </c>
    </row>
    <row r="44" customFormat="false" ht="15" hidden="false" customHeight="false" outlineLevel="0" collapsed="false">
      <c r="A44" s="6" t="s">
        <v>82</v>
      </c>
      <c r="C44" s="19" t="n">
        <f aca="false">Premissas!$B$54</f>
        <v>0.1</v>
      </c>
      <c r="D44" s="16" t="n">
        <f aca="false">(D16+D28+D35+D38+D43)*Premissas!$B$54</f>
        <v>4147.87</v>
      </c>
      <c r="E44" s="2" t="s">
        <v>140</v>
      </c>
    </row>
    <row r="46" customFormat="false" ht="15" hidden="false" customHeight="false" outlineLevel="0" collapsed="false">
      <c r="A46" s="5" t="s">
        <v>141</v>
      </c>
      <c r="B46" s="5"/>
      <c r="C46" s="5"/>
      <c r="D46" s="5"/>
      <c r="E46" s="5"/>
    </row>
    <row r="47" customFormat="false" ht="15" hidden="false" customHeight="false" outlineLevel="0" collapsed="false">
      <c r="A47" s="14" t="s">
        <v>142</v>
      </c>
      <c r="B47" s="14"/>
      <c r="C47" s="14" t="s">
        <v>64</v>
      </c>
      <c r="D47" s="14" t="s">
        <v>143</v>
      </c>
      <c r="E47" s="14"/>
    </row>
    <row r="48" customFormat="false" ht="15" hidden="false" customHeight="false" outlineLevel="0" collapsed="false">
      <c r="A48" s="6" t="s">
        <v>144</v>
      </c>
      <c r="C48" s="16" t="n">
        <f aca="false">D16</f>
        <v>16061.8</v>
      </c>
      <c r="D48" s="20" t="n">
        <f aca="false">C48*Premissas!$B$9</f>
        <v>81915.18</v>
      </c>
    </row>
    <row r="49" customFormat="false" ht="15" hidden="false" customHeight="false" outlineLevel="0" collapsed="false">
      <c r="A49" s="6" t="s">
        <v>145</v>
      </c>
      <c r="C49" s="16" t="n">
        <f aca="false">D28</f>
        <v>8922.3</v>
      </c>
      <c r="D49" s="20" t="n">
        <f aca="false">C49*Premissas!$B$9</f>
        <v>45503.73</v>
      </c>
    </row>
    <row r="50" customFormat="false" ht="15" hidden="false" customHeight="false" outlineLevel="0" collapsed="false">
      <c r="A50" s="6" t="s">
        <v>146</v>
      </c>
      <c r="C50" s="16" t="n">
        <f aca="false">D35</f>
        <v>11574.6</v>
      </c>
      <c r="D50" s="20" t="n">
        <f aca="false">C50*Premissas!$B$9</f>
        <v>59030.46</v>
      </c>
    </row>
    <row r="51" customFormat="false" ht="15" hidden="false" customHeight="false" outlineLevel="0" collapsed="false">
      <c r="A51" s="6" t="s">
        <v>147</v>
      </c>
      <c r="C51" s="16" t="n">
        <f aca="false">D38</f>
        <v>2520</v>
      </c>
      <c r="D51" s="20" t="n">
        <f aca="false">C51*Premissas!$B$9</f>
        <v>12852</v>
      </c>
    </row>
    <row r="52" customFormat="false" ht="15" hidden="false" customHeight="false" outlineLevel="0" collapsed="false">
      <c r="A52" s="6" t="s">
        <v>42</v>
      </c>
      <c r="C52" s="16" t="n">
        <f aca="false">D42</f>
        <v>720</v>
      </c>
      <c r="D52" s="20" t="n">
        <f aca="false">C52*Premissas!$B$9</f>
        <v>3672</v>
      </c>
    </row>
    <row r="53" customFormat="false" ht="15" hidden="false" customHeight="false" outlineLevel="0" collapsed="false">
      <c r="A53" s="6" t="s">
        <v>80</v>
      </c>
      <c r="C53" s="16" t="n">
        <f aca="false">D43</f>
        <v>2400</v>
      </c>
      <c r="D53" s="20" t="n">
        <f aca="false">C53*Premissas!$B$9</f>
        <v>12240</v>
      </c>
    </row>
    <row r="54" customFormat="false" ht="15" hidden="false" customHeight="false" outlineLevel="0" collapsed="false">
      <c r="A54" s="6" t="s">
        <v>82</v>
      </c>
      <c r="C54" s="16" t="n">
        <f aca="false">D44</f>
        <v>4147.87</v>
      </c>
      <c r="D54" s="20" t="n">
        <f aca="false">C54*Premissas!$B$9</f>
        <v>21154.137</v>
      </c>
    </row>
    <row r="55" customFormat="false" ht="15" hidden="false" customHeight="false" outlineLevel="0" collapsed="false">
      <c r="A55" s="17" t="s">
        <v>148</v>
      </c>
      <c r="C55" s="18" t="n">
        <f aca="false">SUM(C48:C54)</f>
        <v>46346.57</v>
      </c>
      <c r="D55" s="21" t="n">
        <f aca="false">SUM(D48:D54)</f>
        <v>236367.507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5" t="s">
        <v>151</v>
      </c>
      <c r="B4" s="5"/>
      <c r="C4" s="5"/>
      <c r="D4" s="5"/>
    </row>
    <row r="5" customFormat="false" ht="15" hidden="false" customHeight="false" outlineLevel="0" collapsed="false">
      <c r="A5" s="14" t="s">
        <v>152</v>
      </c>
      <c r="B5" s="14" t="s">
        <v>153</v>
      </c>
      <c r="C5" s="14"/>
      <c r="D5" s="14" t="s">
        <v>154</v>
      </c>
    </row>
    <row r="6" customFormat="false" ht="15" hidden="false" customHeight="false" outlineLevel="0" collapsed="false">
      <c r="A6" s="6" t="s">
        <v>155</v>
      </c>
      <c r="B6" s="20" t="n">
        <f aca="false">Premissas!B13*Premissas!B15*Premissas!B14</f>
        <v>60000</v>
      </c>
      <c r="D6" s="2" t="s">
        <v>156</v>
      </c>
    </row>
    <row r="7" customFormat="false" ht="15" hidden="false" customHeight="false" outlineLevel="0" collapsed="false">
      <c r="A7" s="6" t="s">
        <v>38</v>
      </c>
      <c r="B7" s="20" t="n">
        <f aca="false">Premissas!B26</f>
        <v>25000</v>
      </c>
    </row>
    <row r="8" customFormat="false" ht="15" hidden="false" customHeight="false" outlineLevel="0" collapsed="false">
      <c r="A8" s="17" t="s">
        <v>157</v>
      </c>
      <c r="B8" s="21" t="n">
        <f aca="false">SUM(B6:B7)</f>
        <v>85000</v>
      </c>
    </row>
    <row r="10" customFormat="false" ht="15" hidden="false" customHeight="false" outlineLevel="0" collapsed="false">
      <c r="A10" s="5" t="s">
        <v>158</v>
      </c>
      <c r="B10" s="5"/>
      <c r="C10" s="5"/>
      <c r="D10" s="5"/>
    </row>
    <row r="11" customFormat="false" ht="15" hidden="false" customHeight="false" outlineLevel="0" collapsed="false">
      <c r="A11" s="14" t="s">
        <v>152</v>
      </c>
      <c r="B11" s="14" t="s">
        <v>159</v>
      </c>
      <c r="C11" s="14"/>
      <c r="D11" s="14" t="s">
        <v>154</v>
      </c>
    </row>
    <row r="12" customFormat="false" ht="15" hidden="false" customHeight="false" outlineLevel="0" collapsed="false">
      <c r="A12" s="6" t="s">
        <v>160</v>
      </c>
      <c r="B12" s="20" t="n">
        <f aca="false">Premissas!B19*Premissas!B20*12</f>
        <v>13440</v>
      </c>
      <c r="D12" s="2" t="s">
        <v>161</v>
      </c>
    </row>
    <row r="13" customFormat="false" ht="15" hidden="false" customHeight="false" outlineLevel="0" collapsed="false">
      <c r="A13" s="6" t="s">
        <v>162</v>
      </c>
      <c r="B13" s="20" t="n">
        <f aca="false">Premissas!B21*Premissas!B22*Premissas!B23</f>
        <v>14400</v>
      </c>
      <c r="D13" s="2" t="s">
        <v>163</v>
      </c>
    </row>
    <row r="14" customFormat="false" ht="15" hidden="false" customHeight="false" outlineLevel="0" collapsed="false">
      <c r="A14" s="6" t="s">
        <v>144</v>
      </c>
      <c r="B14" s="20" t="n">
        <f aca="false">Infraestrutura!D48</f>
        <v>81915.18</v>
      </c>
    </row>
    <row r="15" customFormat="false" ht="15" hidden="false" customHeight="false" outlineLevel="0" collapsed="false">
      <c r="A15" s="6" t="s">
        <v>145</v>
      </c>
      <c r="B15" s="20" t="n">
        <f aca="false">Infraestrutura!D49</f>
        <v>45503.73</v>
      </c>
    </row>
    <row r="16" customFormat="false" ht="15" hidden="false" customHeight="false" outlineLevel="0" collapsed="false">
      <c r="A16" s="6" t="s">
        <v>146</v>
      </c>
      <c r="B16" s="20" t="n">
        <f aca="false">Infraestrutura!D50</f>
        <v>59030.46</v>
      </c>
    </row>
    <row r="17" customFormat="false" ht="15" hidden="false" customHeight="false" outlineLevel="0" collapsed="false">
      <c r="A17" s="6" t="s">
        <v>42</v>
      </c>
      <c r="B17" s="20" t="n">
        <f aca="false">Infraestrutura!D52</f>
        <v>3672</v>
      </c>
    </row>
    <row r="18" customFormat="false" ht="15" hidden="false" customHeight="false" outlineLevel="0" collapsed="false">
      <c r="A18" s="6" t="s">
        <v>80</v>
      </c>
      <c r="B18" s="20" t="n">
        <f aca="false">Infraestrutura!D53</f>
        <v>12240</v>
      </c>
    </row>
    <row r="19" customFormat="false" ht="15" hidden="false" customHeight="false" outlineLevel="0" collapsed="false">
      <c r="A19" s="6" t="s">
        <v>82</v>
      </c>
      <c r="B19" s="20" t="n">
        <f aca="false">Infraestrutura!D54</f>
        <v>21154.137</v>
      </c>
    </row>
    <row r="20" customFormat="false" ht="15" hidden="false" customHeight="false" outlineLevel="0" collapsed="false">
      <c r="A20" s="17" t="s">
        <v>164</v>
      </c>
      <c r="B20" s="21" t="n">
        <f aca="false">SUM(B12:B19)</f>
        <v>251355.507</v>
      </c>
    </row>
    <row r="22" customFormat="false" ht="15" hidden="false" customHeight="false" outlineLevel="0" collapsed="false">
      <c r="A22" s="5" t="s">
        <v>165</v>
      </c>
      <c r="B22" s="5"/>
      <c r="C22" s="5"/>
      <c r="D22" s="5"/>
    </row>
    <row r="23" customFormat="false" ht="15" hidden="false" customHeight="false" outlineLevel="0" collapsed="false">
      <c r="A23" s="14" t="s">
        <v>152</v>
      </c>
      <c r="B23" s="14" t="s">
        <v>159</v>
      </c>
      <c r="C23" s="14" t="s">
        <v>166</v>
      </c>
      <c r="D23" s="14" t="s">
        <v>154</v>
      </c>
    </row>
    <row r="24" customFormat="false" ht="15" hidden="false" customHeight="false" outlineLevel="0" collapsed="false">
      <c r="A24" s="6" t="s">
        <v>147</v>
      </c>
      <c r="B24" s="20" t="n">
        <f aca="false">Infraestrutura!D51</f>
        <v>12852</v>
      </c>
      <c r="C24" s="20" t="n">
        <f aca="false">B24/Premissas!B10</f>
        <v>24.3409090909091</v>
      </c>
      <c r="D24" s="2" t="s">
        <v>167</v>
      </c>
    </row>
    <row r="25" customFormat="false" ht="15" hidden="false" customHeight="false" outlineLevel="0" collapsed="false">
      <c r="A25" s="17" t="s">
        <v>168</v>
      </c>
      <c r="B25" s="21" t="n">
        <f aca="false">B24</f>
        <v>12852</v>
      </c>
      <c r="C25" s="21" t="n">
        <f aca="false">B25/Premissas!B10</f>
        <v>24.3409090909091</v>
      </c>
    </row>
    <row r="27" customFormat="false" ht="15" hidden="false" customHeight="false" outlineLevel="0" collapsed="false">
      <c r="A27" s="5" t="s">
        <v>169</v>
      </c>
      <c r="B27" s="5"/>
      <c r="C27" s="5"/>
      <c r="D27" s="5"/>
    </row>
    <row r="28" customFormat="false" ht="15" hidden="false" customHeight="false" outlineLevel="0" collapsed="false">
      <c r="A28" s="14" t="s">
        <v>152</v>
      </c>
      <c r="B28" s="14" t="s">
        <v>153</v>
      </c>
      <c r="C28" s="14"/>
      <c r="D28" s="14" t="s">
        <v>170</v>
      </c>
    </row>
    <row r="29" customFormat="false" ht="15" hidden="false" customHeight="false" outlineLevel="0" collapsed="false">
      <c r="A29" s="6" t="s">
        <v>171</v>
      </c>
      <c r="B29" s="7" t="n">
        <v>0</v>
      </c>
      <c r="D29" s="2" t="s">
        <v>172</v>
      </c>
    </row>
    <row r="30" customFormat="false" ht="15" hidden="false" customHeight="false" outlineLevel="0" collapsed="false">
      <c r="A30" s="6" t="s">
        <v>173</v>
      </c>
      <c r="B30" s="7" t="n">
        <v>0</v>
      </c>
      <c r="D30" s="2" t="s">
        <v>174</v>
      </c>
    </row>
    <row r="31" customFormat="false" ht="15" hidden="false" customHeight="false" outlineLevel="0" collapsed="false">
      <c r="A31" s="6" t="s">
        <v>175</v>
      </c>
      <c r="B31" s="7" t="n">
        <v>0</v>
      </c>
      <c r="D31" s="2" t="s">
        <v>176</v>
      </c>
    </row>
    <row r="32" customFormat="false" ht="15" hidden="false" customHeight="false" outlineLevel="0" collapsed="false">
      <c r="A32" s="6" t="s">
        <v>177</v>
      </c>
      <c r="B32" s="7" t="n">
        <v>0</v>
      </c>
      <c r="D32" s="2" t="s">
        <v>178</v>
      </c>
    </row>
    <row r="33" customFormat="false" ht="15" hidden="false" customHeight="false" outlineLevel="0" collapsed="false">
      <c r="A33" s="6" t="s">
        <v>179</v>
      </c>
      <c r="B33" s="7" t="n">
        <v>0</v>
      </c>
      <c r="D33" s="2" t="s">
        <v>180</v>
      </c>
    </row>
    <row r="35" customFormat="false" ht="15" hidden="false" customHeight="false" outlineLevel="0" collapsed="false">
      <c r="A35" s="5" t="s">
        <v>141</v>
      </c>
      <c r="B35" s="5"/>
      <c r="C35" s="5"/>
      <c r="D35" s="5"/>
    </row>
    <row r="36" customFormat="false" ht="15" hidden="false" customHeight="false" outlineLevel="0" collapsed="false">
      <c r="A36" s="14" t="s">
        <v>181</v>
      </c>
      <c r="B36" s="14" t="s">
        <v>153</v>
      </c>
      <c r="C36" s="14" t="s">
        <v>182</v>
      </c>
      <c r="D36" s="14"/>
    </row>
    <row r="37" customFormat="false" ht="15" hidden="false" customHeight="false" outlineLevel="0" collapsed="false">
      <c r="A37" s="6" t="s">
        <v>183</v>
      </c>
      <c r="B37" s="20" t="n">
        <f aca="false">B8</f>
        <v>85000</v>
      </c>
      <c r="C37" s="19" t="n">
        <f aca="false">B37/$B$41</f>
        <v>0.243408283888926</v>
      </c>
    </row>
    <row r="38" customFormat="false" ht="15" hidden="false" customHeight="false" outlineLevel="0" collapsed="false">
      <c r="A38" s="6" t="s">
        <v>184</v>
      </c>
      <c r="B38" s="20" t="n">
        <f aca="false">B20</f>
        <v>251355.507</v>
      </c>
      <c r="C38" s="19" t="n">
        <f aca="false">B38/$B$41</f>
        <v>0.719788383587069</v>
      </c>
    </row>
    <row r="39" customFormat="false" ht="15" hidden="false" customHeight="false" outlineLevel="0" collapsed="false">
      <c r="A39" s="6" t="s">
        <v>185</v>
      </c>
      <c r="B39" s="20" t="n">
        <f aca="false">B25</f>
        <v>12852</v>
      </c>
      <c r="C39" s="19" t="n">
        <f aca="false">B39/$B$41</f>
        <v>0.0368033325240056</v>
      </c>
    </row>
    <row r="40" customFormat="false" ht="15" hidden="false" customHeight="false" outlineLevel="0" collapsed="false">
      <c r="A40" s="6" t="s">
        <v>186</v>
      </c>
      <c r="B40" s="20" t="n">
        <f aca="false">B38+B39</f>
        <v>264207.507</v>
      </c>
    </row>
    <row r="41" customFormat="false" ht="15" hidden="false" customHeight="false" outlineLevel="0" collapsed="false">
      <c r="A41" s="17" t="s">
        <v>187</v>
      </c>
      <c r="B41" s="21" t="n">
        <f aca="false">B37+B40</f>
        <v>349207.507</v>
      </c>
      <c r="C41" s="22" t="n">
        <f aca="false">B41/$B$41</f>
        <v>1</v>
      </c>
    </row>
    <row r="42" customFormat="false" ht="15" hidden="false" customHeight="false" outlineLevel="0" collapsed="false">
      <c r="A42" s="17" t="s">
        <v>188</v>
      </c>
      <c r="B42" s="21" t="n">
        <f aca="false">B40</f>
        <v>264207.507</v>
      </c>
      <c r="D42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15" hidden="false" customHeight="false" outlineLevel="0" collapsed="false">
      <c r="A4" s="14" t="s">
        <v>192</v>
      </c>
      <c r="B4" s="14" t="s">
        <v>193</v>
      </c>
      <c r="C4" s="14" t="s">
        <v>37</v>
      </c>
      <c r="D4" s="14" t="s">
        <v>194</v>
      </c>
      <c r="E4" s="14" t="s">
        <v>195</v>
      </c>
      <c r="F4" s="14" t="s">
        <v>196</v>
      </c>
      <c r="G4" s="14" t="s">
        <v>197</v>
      </c>
      <c r="H4" s="14" t="s">
        <v>198</v>
      </c>
      <c r="I4" s="14" t="s">
        <v>199</v>
      </c>
    </row>
    <row r="5" customFormat="false" ht="15" hidden="false" customHeight="false" outlineLevel="0" collapsed="false">
      <c r="A5" s="15" t="n">
        <v>1</v>
      </c>
      <c r="B5" s="20" t="n">
        <f aca="false">Orçamento!$B$6/3</f>
        <v>20000</v>
      </c>
      <c r="C5" s="20" t="n">
        <f aca="false">0</f>
        <v>0</v>
      </c>
      <c r="D5" s="20" t="n">
        <f aca="false">(Orçamento!$B$14+Orçamento!$B$15+Orçamento!$B$16+Orçamento!$B$17+Orçamento!$B$18+Orçamento!$B$24)/12</f>
        <v>17934.4475</v>
      </c>
      <c r="E5" s="20" t="n">
        <f aca="false">Orçamento!$B$12/12</f>
        <v>1120</v>
      </c>
      <c r="F5" s="20" t="n">
        <f aca="false">0</f>
        <v>0</v>
      </c>
      <c r="G5" s="20" t="n">
        <f aca="false">Orçamento!$B$19/12</f>
        <v>1762.84475</v>
      </c>
      <c r="H5" s="20" t="n">
        <f aca="false">SUM(B5:G5)</f>
        <v>40817.29225</v>
      </c>
      <c r="I5" s="20" t="n">
        <f aca="false">H5</f>
        <v>40817.29225</v>
      </c>
    </row>
    <row r="6" customFormat="false" ht="15" hidden="false" customHeight="false" outlineLevel="0" collapsed="false">
      <c r="A6" s="15" t="n">
        <v>2</v>
      </c>
      <c r="B6" s="20" t="n">
        <f aca="false">Orçamento!$B$6/3</f>
        <v>20000</v>
      </c>
      <c r="C6" s="20" t="n">
        <f aca="false">0</f>
        <v>0</v>
      </c>
      <c r="D6" s="20" t="n">
        <f aca="false">(Orçamento!$B$14+Orçamento!$B$15+Orçamento!$B$16+Orçamento!$B$17+Orçamento!$B$18+Orçamento!$B$24)/12</f>
        <v>17934.4475</v>
      </c>
      <c r="E6" s="20" t="n">
        <f aca="false">Orçamento!$B$12/12</f>
        <v>1120</v>
      </c>
      <c r="F6" s="20" t="n">
        <f aca="false">0</f>
        <v>0</v>
      </c>
      <c r="G6" s="20" t="n">
        <f aca="false">Orçamento!$B$19/12</f>
        <v>1762.84475</v>
      </c>
      <c r="H6" s="20" t="n">
        <f aca="false">SUM(B6:G6)</f>
        <v>40817.29225</v>
      </c>
      <c r="I6" s="20" t="n">
        <f aca="false">I5+H6</f>
        <v>81634.5845</v>
      </c>
    </row>
    <row r="7" customFormat="false" ht="15" hidden="false" customHeight="false" outlineLevel="0" collapsed="false">
      <c r="A7" s="15" t="n">
        <v>3</v>
      </c>
      <c r="B7" s="20" t="n">
        <f aca="false">Orçamento!$B$6/3</f>
        <v>20000</v>
      </c>
      <c r="C7" s="20" t="n">
        <f aca="false">Orçamento!$B$7</f>
        <v>25000</v>
      </c>
      <c r="D7" s="20" t="n">
        <f aca="false">(Orçamento!$B$14+Orçamento!$B$15+Orçamento!$B$16+Orçamento!$B$17+Orçamento!$B$18+Orçamento!$B$24)/12</f>
        <v>17934.4475</v>
      </c>
      <c r="E7" s="20" t="n">
        <f aca="false">Orçamento!$B$12/12</f>
        <v>1120</v>
      </c>
      <c r="F7" s="20" t="n">
        <f aca="false">Orçamento!$B$13/Premissas!$B$21</f>
        <v>3600</v>
      </c>
      <c r="G7" s="20" t="n">
        <f aca="false">Orçamento!$B$19/12</f>
        <v>1762.84475</v>
      </c>
      <c r="H7" s="20" t="n">
        <f aca="false">SUM(B7:G7)</f>
        <v>69417.29225</v>
      </c>
      <c r="I7" s="20" t="n">
        <f aca="false">I6+H7</f>
        <v>151051.87675</v>
      </c>
    </row>
    <row r="8" customFormat="false" ht="15" hidden="false" customHeight="false" outlineLevel="0" collapsed="false">
      <c r="A8" s="15" t="n">
        <v>4</v>
      </c>
      <c r="B8" s="20" t="n">
        <f aca="false">0</f>
        <v>0</v>
      </c>
      <c r="C8" s="20" t="n">
        <f aca="false">0</f>
        <v>0</v>
      </c>
      <c r="D8" s="20" t="n">
        <f aca="false">(Orçamento!$B$14+Orçamento!$B$15+Orçamento!$B$16+Orçamento!$B$17+Orçamento!$B$18+Orçamento!$B$24)/12</f>
        <v>17934.4475</v>
      </c>
      <c r="E8" s="20" t="n">
        <f aca="false">Orçamento!$B$12/12</f>
        <v>1120</v>
      </c>
      <c r="F8" s="20" t="n">
        <f aca="false">0</f>
        <v>0</v>
      </c>
      <c r="G8" s="20" t="n">
        <f aca="false">Orçamento!$B$19/12</f>
        <v>1762.84475</v>
      </c>
      <c r="H8" s="20" t="n">
        <f aca="false">SUM(B8:G8)</f>
        <v>20817.29225</v>
      </c>
      <c r="I8" s="20" t="n">
        <f aca="false">I7+H8</f>
        <v>171869.169</v>
      </c>
    </row>
    <row r="9" customFormat="false" ht="15" hidden="false" customHeight="false" outlineLevel="0" collapsed="false">
      <c r="A9" s="15" t="n">
        <v>5</v>
      </c>
      <c r="B9" s="20" t="n">
        <f aca="false">0</f>
        <v>0</v>
      </c>
      <c r="C9" s="20" t="n">
        <f aca="false">0</f>
        <v>0</v>
      </c>
      <c r="D9" s="20" t="n">
        <f aca="false">(Orçamento!$B$14+Orçamento!$B$15+Orçamento!$B$16+Orçamento!$B$17+Orçamento!$B$18+Orçamento!$B$24)/12</f>
        <v>17934.4475</v>
      </c>
      <c r="E9" s="20" t="n">
        <f aca="false">Orçamento!$B$12/12</f>
        <v>1120</v>
      </c>
      <c r="F9" s="20" t="n">
        <f aca="false">0</f>
        <v>0</v>
      </c>
      <c r="G9" s="20" t="n">
        <f aca="false">Orçamento!$B$19/12</f>
        <v>1762.84475</v>
      </c>
      <c r="H9" s="20" t="n">
        <f aca="false">SUM(B9:G9)</f>
        <v>20817.29225</v>
      </c>
      <c r="I9" s="20" t="n">
        <f aca="false">I8+H9</f>
        <v>192686.46125</v>
      </c>
    </row>
    <row r="10" customFormat="false" ht="15" hidden="false" customHeight="false" outlineLevel="0" collapsed="false">
      <c r="A10" s="15" t="n">
        <v>6</v>
      </c>
      <c r="B10" s="20" t="n">
        <f aca="false">0</f>
        <v>0</v>
      </c>
      <c r="C10" s="20" t="n">
        <f aca="false">0</f>
        <v>0</v>
      </c>
      <c r="D10" s="20" t="n">
        <f aca="false">(Orçamento!$B$14+Orçamento!$B$15+Orçamento!$B$16+Orçamento!$B$17+Orçamento!$B$18+Orçamento!$B$24)/12</f>
        <v>17934.4475</v>
      </c>
      <c r="E10" s="20" t="n">
        <f aca="false">Orçamento!$B$12/12</f>
        <v>1120</v>
      </c>
      <c r="F10" s="20" t="n">
        <f aca="false">Orçamento!$B$13/Premissas!$B$21</f>
        <v>3600</v>
      </c>
      <c r="G10" s="20" t="n">
        <f aca="false">Orçamento!$B$19/12</f>
        <v>1762.84475</v>
      </c>
      <c r="H10" s="20" t="n">
        <f aca="false">SUM(B10:G10)</f>
        <v>24417.29225</v>
      </c>
      <c r="I10" s="20" t="n">
        <f aca="false">I9+H10</f>
        <v>217103.7535</v>
      </c>
    </row>
    <row r="11" customFormat="false" ht="15" hidden="false" customHeight="false" outlineLevel="0" collapsed="false">
      <c r="A11" s="15" t="n">
        <v>7</v>
      </c>
      <c r="B11" s="20" t="n">
        <f aca="false">0</f>
        <v>0</v>
      </c>
      <c r="C11" s="20" t="n">
        <f aca="false">0</f>
        <v>0</v>
      </c>
      <c r="D11" s="20" t="n">
        <f aca="false">(Orçamento!$B$14+Orçamento!$B$15+Orçamento!$B$16+Orçamento!$B$17+Orçamento!$B$18+Orçamento!$B$24)/12</f>
        <v>17934.4475</v>
      </c>
      <c r="E11" s="20" t="n">
        <f aca="false">Orçamento!$B$12/12</f>
        <v>1120</v>
      </c>
      <c r="F11" s="20" t="n">
        <f aca="false">0</f>
        <v>0</v>
      </c>
      <c r="G11" s="20" t="n">
        <f aca="false">Orçamento!$B$19/12</f>
        <v>1762.84475</v>
      </c>
      <c r="H11" s="20" t="n">
        <f aca="false">SUM(B11:G11)</f>
        <v>20817.29225</v>
      </c>
      <c r="I11" s="20" t="n">
        <f aca="false">I10+H11</f>
        <v>237921.04575</v>
      </c>
    </row>
    <row r="12" customFormat="false" ht="15" hidden="false" customHeight="false" outlineLevel="0" collapsed="false">
      <c r="A12" s="15" t="n">
        <v>8</v>
      </c>
      <c r="B12" s="20" t="n">
        <f aca="false">0</f>
        <v>0</v>
      </c>
      <c r="C12" s="20" t="n">
        <f aca="false">0</f>
        <v>0</v>
      </c>
      <c r="D12" s="20" t="n">
        <f aca="false">(Orçamento!$B$14+Orçamento!$B$15+Orçamento!$B$16+Orçamento!$B$17+Orçamento!$B$18+Orçamento!$B$24)/12</f>
        <v>17934.4475</v>
      </c>
      <c r="E12" s="20" t="n">
        <f aca="false">Orçamento!$B$12/12</f>
        <v>1120</v>
      </c>
      <c r="F12" s="20" t="n">
        <f aca="false">0</f>
        <v>0</v>
      </c>
      <c r="G12" s="20" t="n">
        <f aca="false">Orçamento!$B$19/12</f>
        <v>1762.84475</v>
      </c>
      <c r="H12" s="20" t="n">
        <f aca="false">SUM(B12:G12)</f>
        <v>20817.29225</v>
      </c>
      <c r="I12" s="20" t="n">
        <f aca="false">I11+H12</f>
        <v>258738.338</v>
      </c>
    </row>
    <row r="13" customFormat="false" ht="15" hidden="false" customHeight="false" outlineLevel="0" collapsed="false">
      <c r="A13" s="15" t="n">
        <v>9</v>
      </c>
      <c r="B13" s="20" t="n">
        <f aca="false">0</f>
        <v>0</v>
      </c>
      <c r="C13" s="20" t="n">
        <f aca="false">0</f>
        <v>0</v>
      </c>
      <c r="D13" s="20" t="n">
        <f aca="false">(Orçamento!$B$14+Orçamento!$B$15+Orçamento!$B$16+Orçamento!$B$17+Orçamento!$B$18+Orçamento!$B$24)/12</f>
        <v>17934.4475</v>
      </c>
      <c r="E13" s="20" t="n">
        <f aca="false">Orçamento!$B$12/12</f>
        <v>1120</v>
      </c>
      <c r="F13" s="20" t="n">
        <f aca="false">Orçamento!$B$13/Premissas!$B$21</f>
        <v>3600</v>
      </c>
      <c r="G13" s="20" t="n">
        <f aca="false">Orçamento!$B$19/12</f>
        <v>1762.84475</v>
      </c>
      <c r="H13" s="20" t="n">
        <f aca="false">SUM(B13:G13)</f>
        <v>24417.29225</v>
      </c>
      <c r="I13" s="20" t="n">
        <f aca="false">I12+H13</f>
        <v>283155.63025</v>
      </c>
    </row>
    <row r="14" customFormat="false" ht="15" hidden="false" customHeight="false" outlineLevel="0" collapsed="false">
      <c r="A14" s="15" t="n">
        <v>10</v>
      </c>
      <c r="B14" s="20" t="n">
        <f aca="false">0</f>
        <v>0</v>
      </c>
      <c r="C14" s="20" t="n">
        <f aca="false">0</f>
        <v>0</v>
      </c>
      <c r="D14" s="20" t="n">
        <f aca="false">(Orçamento!$B$14+Orçamento!$B$15+Orçamento!$B$16+Orçamento!$B$17+Orçamento!$B$18+Orçamento!$B$24)/12</f>
        <v>17934.4475</v>
      </c>
      <c r="E14" s="20" t="n">
        <f aca="false">Orçamento!$B$12/12</f>
        <v>1120</v>
      </c>
      <c r="F14" s="20" t="n">
        <f aca="false">0</f>
        <v>0</v>
      </c>
      <c r="G14" s="20" t="n">
        <f aca="false">Orçamento!$B$19/12</f>
        <v>1762.84475</v>
      </c>
      <c r="H14" s="20" t="n">
        <f aca="false">SUM(B14:G14)</f>
        <v>20817.29225</v>
      </c>
      <c r="I14" s="20" t="n">
        <f aca="false">I13+H14</f>
        <v>303972.9225</v>
      </c>
    </row>
    <row r="15" customFormat="false" ht="15" hidden="false" customHeight="false" outlineLevel="0" collapsed="false">
      <c r="A15" s="15" t="n">
        <v>11</v>
      </c>
      <c r="B15" s="20" t="n">
        <f aca="false">0</f>
        <v>0</v>
      </c>
      <c r="C15" s="20" t="n">
        <f aca="false">0</f>
        <v>0</v>
      </c>
      <c r="D15" s="20" t="n">
        <f aca="false">(Orçamento!$B$14+Orçamento!$B$15+Orçamento!$B$16+Orçamento!$B$17+Orçamento!$B$18+Orçamento!$B$24)/12</f>
        <v>17934.4475</v>
      </c>
      <c r="E15" s="20" t="n">
        <f aca="false">Orçamento!$B$12/12</f>
        <v>1120</v>
      </c>
      <c r="F15" s="20" t="n">
        <f aca="false">0</f>
        <v>0</v>
      </c>
      <c r="G15" s="20" t="n">
        <f aca="false">Orçamento!$B$19/12</f>
        <v>1762.84475</v>
      </c>
      <c r="H15" s="20" t="n">
        <f aca="false">SUM(B15:G15)</f>
        <v>20817.29225</v>
      </c>
      <c r="I15" s="20" t="n">
        <f aca="false">I14+H15</f>
        <v>324790.21475</v>
      </c>
    </row>
    <row r="16" customFormat="false" ht="15" hidden="false" customHeight="false" outlineLevel="0" collapsed="false">
      <c r="A16" s="15" t="n">
        <v>12</v>
      </c>
      <c r="B16" s="20" t="n">
        <f aca="false">0</f>
        <v>0</v>
      </c>
      <c r="C16" s="20" t="n">
        <f aca="false">0</f>
        <v>0</v>
      </c>
      <c r="D16" s="20" t="n">
        <f aca="false">(Orçamento!$B$14+Orçamento!$B$15+Orçamento!$B$16+Orçamento!$B$17+Orçamento!$B$18+Orçamento!$B$24)/12</f>
        <v>17934.4475</v>
      </c>
      <c r="E16" s="20" t="n">
        <f aca="false">Orçamento!$B$12/12</f>
        <v>1120</v>
      </c>
      <c r="F16" s="20" t="n">
        <f aca="false">Orçamento!$B$13/Premissas!$B$21</f>
        <v>3600</v>
      </c>
      <c r="G16" s="20" t="n">
        <f aca="false">Orçamento!$B$19/12</f>
        <v>1762.84475</v>
      </c>
      <c r="H16" s="20" t="n">
        <f aca="false">SUM(B16:G16)</f>
        <v>24417.29225</v>
      </c>
      <c r="I16" s="20" t="n">
        <f aca="false">I15+H16</f>
        <v>349207.507</v>
      </c>
    </row>
    <row r="17" customFormat="false" ht="15" hidden="false" customHeight="false" outlineLevel="0" collapsed="false">
      <c r="A17" s="23" t="str">
        <f aca="false">"Total"</f>
        <v>Total</v>
      </c>
      <c r="B17" s="21" t="n">
        <f aca="false">SUM(B5:B16)</f>
        <v>60000</v>
      </c>
      <c r="C17" s="21" t="n">
        <f aca="false">SUM(C5:C16)</f>
        <v>25000</v>
      </c>
      <c r="D17" s="21" t="n">
        <f aca="false">SUM(D5:D16)</f>
        <v>215213.37</v>
      </c>
      <c r="E17" s="21" t="n">
        <f aca="false">SUM(E5:E16)</f>
        <v>13440</v>
      </c>
      <c r="F17" s="21" t="n">
        <f aca="false">SUM(F5:F16)</f>
        <v>14400</v>
      </c>
      <c r="G17" s="21" t="n">
        <f aca="false">SUM(G5:G16)</f>
        <v>21154.137</v>
      </c>
      <c r="H17" s="21" t="n">
        <f aca="false">SUM(H5:H16)</f>
        <v>349207.507</v>
      </c>
    </row>
    <row r="19" customFormat="false" ht="15" hidden="false" customHeight="false" outlineLevel="0" collapsed="false">
      <c r="A19" s="5" t="s">
        <v>200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6" t="s">
        <v>201</v>
      </c>
      <c r="B20" s="20" t="n">
        <f aca="false">SUM(H5:H7)</f>
        <v>151051.87675</v>
      </c>
      <c r="C20" s="19" t="n">
        <f aca="false">SUM(H5:H7)/H17</f>
        <v>0.432556212916694</v>
      </c>
    </row>
    <row r="21" customFormat="false" ht="15" hidden="false" customHeight="false" outlineLevel="0" collapsed="false">
      <c r="A21" s="6" t="s">
        <v>202</v>
      </c>
      <c r="B21" s="20" t="n">
        <f aca="false">SUM(H8:H16)</f>
        <v>198155.63025</v>
      </c>
      <c r="C21" s="19" t="n">
        <f aca="false">SUM(H8:H16)/H17</f>
        <v>0.567443787083306</v>
      </c>
    </row>
    <row r="22" customFormat="false" ht="15" hidden="false" customHeight="false" outlineLevel="0" collapsed="false">
      <c r="A22" s="6" t="s">
        <v>203</v>
      </c>
      <c r="B22" s="20" t="n">
        <f aca="false">H8</f>
        <v>20817.29225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204</v>
      </c>
    </row>
    <row r="3" customFormat="false" ht="15" hidden="false" customHeight="false" outlineLevel="0" collapsed="false">
      <c r="A3" s="5" t="s">
        <v>205</v>
      </c>
      <c r="B3" s="5"/>
      <c r="C3" s="5"/>
      <c r="D3" s="5"/>
    </row>
    <row r="4" customFormat="false" ht="15" hidden="false" customHeight="false" outlineLevel="0" collapsed="false">
      <c r="A4" s="14" t="s">
        <v>206</v>
      </c>
      <c r="B4" s="14" t="s">
        <v>207</v>
      </c>
      <c r="C4" s="14" t="s">
        <v>208</v>
      </c>
      <c r="D4" s="14" t="s">
        <v>209</v>
      </c>
    </row>
    <row r="5" customFormat="false" ht="15" hidden="false" customHeight="false" outlineLevel="0" collapsed="false">
      <c r="A5" s="6" t="s">
        <v>210</v>
      </c>
      <c r="B5" s="20" t="n">
        <f aca="false">Orçamento!B41</f>
        <v>349207.507</v>
      </c>
      <c r="C5" s="19" t="n">
        <f aca="false">B5/$B$5-1</f>
        <v>0</v>
      </c>
      <c r="D5" s="2" t="s">
        <v>211</v>
      </c>
    </row>
    <row r="6" customFormat="false" ht="15" hidden="false" customHeight="false" outlineLevel="0" collapsed="false">
      <c r="A6" s="6" t="s">
        <v>212</v>
      </c>
      <c r="B6" s="20" t="n">
        <f aca="false">$B$5*(1+Premissas!B57)</f>
        <v>366667.88235</v>
      </c>
      <c r="C6" s="19" t="n">
        <f aca="false">B6/$B$5-1</f>
        <v>0.05</v>
      </c>
    </row>
    <row r="7" customFormat="false" ht="15" hidden="false" customHeight="false" outlineLevel="0" collapsed="false">
      <c r="A7" s="6" t="s">
        <v>213</v>
      </c>
      <c r="B7" s="20" t="n">
        <f aca="false">$B$5*(1+Premissas!B58)</f>
        <v>384128.2577</v>
      </c>
      <c r="C7" s="19" t="n">
        <f aca="false">B7/$B$5-1</f>
        <v>0.1</v>
      </c>
    </row>
    <row r="9" customFormat="false" ht="15" hidden="false" customHeight="false" outlineLevel="0" collapsed="false">
      <c r="A9" s="5" t="s">
        <v>214</v>
      </c>
      <c r="B9" s="5"/>
      <c r="C9" s="5"/>
      <c r="D9" s="5"/>
    </row>
    <row r="10" customFormat="false" ht="15" hidden="false" customHeight="false" outlineLevel="0" collapsed="false">
      <c r="A10" s="14" t="s">
        <v>181</v>
      </c>
      <c r="B10" s="14" t="s">
        <v>215</v>
      </c>
      <c r="C10" s="14" t="s">
        <v>216</v>
      </c>
      <c r="D10" s="14"/>
    </row>
    <row r="11" customFormat="false" ht="15" hidden="false" customHeight="false" outlineLevel="0" collapsed="false">
      <c r="A11" s="6" t="s">
        <v>217</v>
      </c>
      <c r="B11" s="20" t="n">
        <f aca="false">Orçamento!B6</f>
        <v>60000</v>
      </c>
      <c r="C11" s="20" t="n">
        <f aca="false">Orçamento!B6*Premissas!B16</f>
        <v>108000</v>
      </c>
    </row>
    <row r="12" customFormat="false" ht="15" hidden="false" customHeight="false" outlineLevel="0" collapsed="false">
      <c r="A12" s="6" t="s">
        <v>218</v>
      </c>
      <c r="B12" s="20" t="n">
        <f aca="false">Orçamento!B7</f>
        <v>25000</v>
      </c>
      <c r="C12" s="20" t="n">
        <f aca="false">Orçamento!B7</f>
        <v>25000</v>
      </c>
    </row>
    <row r="13" customFormat="false" ht="15" hidden="false" customHeight="false" outlineLevel="0" collapsed="false">
      <c r="A13" s="6" t="s">
        <v>186</v>
      </c>
      <c r="B13" s="20" t="n">
        <f aca="false">Orçamento!B40</f>
        <v>264207.507</v>
      </c>
      <c r="C13" s="20" t="n">
        <f aca="false">Orçamento!B40</f>
        <v>264207.507</v>
      </c>
    </row>
    <row r="14" customFormat="false" ht="15" hidden="false" customHeight="false" outlineLevel="0" collapsed="false">
      <c r="A14" s="17" t="s">
        <v>219</v>
      </c>
      <c r="B14" s="21" t="n">
        <f aca="false">SUM(B11:B13)</f>
        <v>349207.507</v>
      </c>
      <c r="C14" s="21" t="n">
        <f aca="false">SUM(C11:C13)</f>
        <v>397207.507</v>
      </c>
    </row>
    <row r="15" customFormat="false" ht="15" hidden="false" customHeight="false" outlineLevel="0" collapsed="false">
      <c r="A15" s="6" t="s">
        <v>220</v>
      </c>
      <c r="C15" s="20" t="n">
        <f aca="false">C14-B14</f>
        <v>48000</v>
      </c>
    </row>
    <row r="17" customFormat="false" ht="15" hidden="false" customHeight="false" outlineLevel="0" collapsed="false">
      <c r="A17" s="5" t="s">
        <v>221</v>
      </c>
      <c r="B17" s="5"/>
      <c r="C17" s="5"/>
      <c r="D17" s="5"/>
    </row>
    <row r="18" customFormat="false" ht="15" hidden="false" customHeight="false" outlineLevel="0" collapsed="false">
      <c r="A18" s="2" t="s">
        <v>222</v>
      </c>
    </row>
    <row r="19" customFormat="false" ht="23.85" hidden="false" customHeight="false" outlineLevel="0" collapsed="false">
      <c r="A19" s="14" t="s">
        <v>223</v>
      </c>
      <c r="B19" s="14" t="s">
        <v>224</v>
      </c>
      <c r="C19" s="14" t="s">
        <v>225</v>
      </c>
      <c r="D19" s="14" t="s">
        <v>226</v>
      </c>
    </row>
    <row r="20" customFormat="false" ht="15" hidden="false" customHeight="false" outlineLevel="0" collapsed="false">
      <c r="A20" s="11" t="n">
        <v>4.6</v>
      </c>
      <c r="B20" s="20" t="n">
        <f aca="false">Infraestrutura!$C$55*A20</f>
        <v>213194.222</v>
      </c>
      <c r="C20" s="20" t="n">
        <f aca="false">Orçamento!$B$41-Infraestrutura!$D$55+B20</f>
        <v>326034.222</v>
      </c>
      <c r="D20" s="19" t="n">
        <f aca="false">C20/Orçamento!$B$41-1</f>
        <v>-0.0663596415755176</v>
      </c>
    </row>
    <row r="21" customFormat="false" ht="15" hidden="false" customHeight="false" outlineLevel="0" collapsed="false">
      <c r="A21" s="11" t="n">
        <v>5.1</v>
      </c>
      <c r="B21" s="20" t="n">
        <f aca="false">Infraestrutura!$C$55*A21</f>
        <v>236367.507</v>
      </c>
      <c r="C21" s="20" t="n">
        <f aca="false">Orçamento!$B$41-Infraestrutura!$D$55+B21</f>
        <v>349207.507</v>
      </c>
      <c r="D21" s="19" t="n">
        <f aca="false">C21/Orçamento!$B$41-1</f>
        <v>0</v>
      </c>
    </row>
    <row r="22" customFormat="false" ht="15" hidden="false" customHeight="false" outlineLevel="0" collapsed="false">
      <c r="A22" s="11" t="n">
        <v>5.6</v>
      </c>
      <c r="B22" s="20" t="n">
        <f aca="false">Infraestrutura!$C$55*A22</f>
        <v>259540.792</v>
      </c>
      <c r="C22" s="20" t="n">
        <f aca="false">Orçamento!$B$41-Infraestrutura!$D$55+B22</f>
        <v>372380.792</v>
      </c>
      <c r="D22" s="19" t="n">
        <f aca="false">C22/Orçamento!$B$41-1</f>
        <v>0.0663596415755174</v>
      </c>
    </row>
    <row r="23" customFormat="false" ht="15" hidden="false" customHeight="false" outlineLevel="0" collapsed="false">
      <c r="A23" s="11" t="n">
        <v>6.1</v>
      </c>
      <c r="B23" s="20" t="n">
        <f aca="false">Infraestrutura!$C$55*A23</f>
        <v>282714.077</v>
      </c>
      <c r="C23" s="20" t="n">
        <f aca="false">Orçamento!$B$41-Infraestrutura!$D$55+B23</f>
        <v>395554.077</v>
      </c>
      <c r="D23" s="19" t="n">
        <f aca="false">C23/Orçamento!$B$41-1</f>
        <v>0.132719283151035</v>
      </c>
    </row>
    <row r="25" customFormat="false" ht="15" hidden="false" customHeight="false" outlineLevel="0" collapsed="false">
      <c r="A25" s="5" t="s">
        <v>227</v>
      </c>
      <c r="B25" s="5"/>
      <c r="C25" s="5"/>
      <c r="D25" s="5"/>
    </row>
    <row r="26" customFormat="false" ht="15" hidden="false" customHeight="false" outlineLevel="0" collapsed="false">
      <c r="A26" s="2" t="s">
        <v>228</v>
      </c>
    </row>
    <row r="27" customFormat="false" ht="15" hidden="false" customHeight="false" outlineLevel="0" collapsed="false">
      <c r="A27" s="14" t="s">
        <v>229</v>
      </c>
      <c r="B27" s="14" t="s">
        <v>207</v>
      </c>
      <c r="C27" s="14" t="s">
        <v>208</v>
      </c>
      <c r="D27" s="14"/>
    </row>
    <row r="28" customFormat="false" ht="15" hidden="false" customHeight="false" outlineLevel="0" collapsed="false">
      <c r="A28" s="6" t="s">
        <v>230</v>
      </c>
      <c r="B28" s="20" t="n">
        <f aca="false">Orçamento!B41</f>
        <v>349207.507</v>
      </c>
      <c r="C28" s="19" t="n">
        <f aca="false">B28/$B$28-1</f>
        <v>0</v>
      </c>
    </row>
    <row r="29" customFormat="false" ht="15" hidden="false" customHeight="false" outlineLevel="0" collapsed="false">
      <c r="A29" s="6" t="s">
        <v>231</v>
      </c>
      <c r="B29" s="20" t="n">
        <f aca="false">Orçamento!B41-Orçamento!B15</f>
        <v>303703.777</v>
      </c>
      <c r="C29" s="19" t="n">
        <f aca="false">B29/$B$28-1</f>
        <v>-0.13030570388053</v>
      </c>
      <c r="D29" s="2" t="s">
        <v>232</v>
      </c>
    </row>
    <row r="31" customFormat="false" ht="15" hidden="false" customHeight="false" outlineLevel="0" collapsed="false">
      <c r="A31" s="5" t="s">
        <v>233</v>
      </c>
      <c r="B31" s="5"/>
      <c r="C31" s="5"/>
      <c r="D31" s="5"/>
    </row>
    <row r="32" customFormat="false" ht="15" hidden="false" customHeight="false" outlineLevel="0" collapsed="false">
      <c r="A32" s="14" t="s">
        <v>206</v>
      </c>
      <c r="B32" s="14" t="s">
        <v>207</v>
      </c>
      <c r="C32" s="14"/>
      <c r="D32" s="14"/>
    </row>
    <row r="33" customFormat="false" ht="15" hidden="false" customHeight="false" outlineLevel="0" collapsed="false">
      <c r="A33" s="6" t="s">
        <v>210</v>
      </c>
      <c r="B33" s="20" t="n">
        <f aca="false">B5</f>
        <v>349207.507</v>
      </c>
    </row>
    <row r="34" customFormat="false" ht="15" hidden="false" customHeight="false" outlineLevel="0" collapsed="false">
      <c r="A34" s="6" t="s">
        <v>212</v>
      </c>
      <c r="B34" s="20" t="n">
        <f aca="false">B6</f>
        <v>366667.88235</v>
      </c>
    </row>
    <row r="35" customFormat="false" ht="15" hidden="false" customHeight="false" outlineLevel="0" collapsed="false">
      <c r="A35" s="6" t="s">
        <v>213</v>
      </c>
      <c r="B35" s="20" t="n">
        <f aca="false">B7</f>
        <v>384128.2577</v>
      </c>
    </row>
    <row r="36" customFormat="false" ht="15" hidden="false" customHeight="false" outlineLevel="0" collapsed="false">
      <c r="A36" s="6" t="s">
        <v>234</v>
      </c>
      <c r="B36" s="20" t="n">
        <f aca="false">C14</f>
        <v>397207.507</v>
      </c>
    </row>
    <row r="37" customFormat="false" ht="15" hidden="false" customHeight="false" outlineLevel="0" collapsed="false">
      <c r="A37" s="6" t="s">
        <v>235</v>
      </c>
      <c r="B37" s="20" t="n">
        <f aca="false">Orçamento!B42</f>
        <v>264207.507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2026-09-11T14:32:52Z</dcterms:created>
  <dc:creator>openpyxl</dc:creator>
  <dc:description/>
  <dc:language>en-US</dc:language>
  <cp:lastModifiedBy/>
  <dcterms:modified xsi:type="dcterms:W3CDTF">2026-09-11T14:32:52Z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