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  <sheet name="Simul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<sst xmlns="http://schemas.openxmlformats.org/spreadsheetml/2006/main" count="133" uniqueCount="117">
  <si>
    <t xml:space="preserve">Retorno Econômico — Margem de Contribuição, Ponto de Equilíbrio, ROI e Payback</t>
  </si>
  <si>
    <t xml:space="preserve">Motiva · Manutenção Preditiva das PSD · Cenário do projeto implementado, 12 meses</t>
  </si>
  <si>
    <t xml:space="preserve">ATENÇÃO: os campos em vermelho dependem de dados ainda não fornecidos pela Motiva. Enquanto estiverem vazios, os indicadores da seção 5 não são calculados.</t>
  </si>
  <si>
    <t xml:space="preserve">Amarelo = premissa de entrada (editável)</t>
  </si>
  <si>
    <t xml:space="preserve">Cinza = calculado por fórmula (não editar)</t>
  </si>
  <si>
    <t xml:space="preserve">Vermelho = parâmetro pendente de fornecimento pela Motiva</t>
  </si>
  <si>
    <t xml:space="preserve">1. Premissas operacionais</t>
  </si>
  <si>
    <t xml:space="preserve">Portas de plataforma monitoradas</t>
  </si>
  <si>
    <t xml:space="preserve">portas</t>
  </si>
  <si>
    <t xml:space="preserve">Informado pela Motiva</t>
  </si>
  <si>
    <t xml:space="preserve">Ocorrências corretivas por mês</t>
  </si>
  <si>
    <t xml:space="preserve">falhas/mês</t>
  </si>
  <si>
    <t xml:space="preserve">Ocorrências corretivas por ano</t>
  </si>
  <si>
    <t xml:space="preserve">falhas/ano</t>
  </si>
  <si>
    <t xml:space="preserve">Falhas corretivas por porta ao ano</t>
  </si>
  <si>
    <t xml:space="preserve">falhas/porta/ano</t>
  </si>
  <si>
    <t xml:space="preserve">2. Desempenho esperado do modelo</t>
  </si>
  <si>
    <t xml:space="preserve">Recall esperado</t>
  </si>
  <si>
    <t xml:space="preserve">% das falhas</t>
  </si>
  <si>
    <t xml:space="preserve">Teto estimado pelo grupo pela qualidade das bases — não é métrica medida</t>
  </si>
  <si>
    <t xml:space="preserve">Precisão esperada</t>
  </si>
  <si>
    <t xml:space="preserve">% dos alertas</t>
  </si>
  <si>
    <t xml:space="preserve">Falhas antecipadas (verdadeiros positivos)</t>
  </si>
  <si>
    <t xml:space="preserve">Total de alertas emitidos</t>
  </si>
  <si>
    <t xml:space="preserve">alertas/ano</t>
  </si>
  <si>
    <t xml:space="preserve">Alertas improdutivos (falsos positivos)</t>
  </si>
  <si>
    <t xml:space="preserve">Falsos positivos por dia útil</t>
  </si>
  <si>
    <t xml:space="preserve">alertas/dia</t>
  </si>
  <si>
    <t xml:space="preserve">Razão falsos / verdadeiros positivos</t>
  </si>
  <si>
    <t xml:space="preserve">alertas por falha</t>
  </si>
  <si>
    <t xml:space="preserve">Falhas não antecipadas</t>
  </si>
  <si>
    <t xml:space="preserve">3. Estrutura de custos</t>
  </si>
  <si>
    <t xml:space="preserve">CAPEX — investimento inicial</t>
  </si>
  <si>
    <t xml:space="preserve">Planilha 2 · aba Orçamento · aprimoramento e implantação</t>
  </si>
  <si>
    <t xml:space="preserve">OPEX fixo anual</t>
  </si>
  <si>
    <t xml:space="preserve">Planilha 2 · Vercel + Red Hat + sustentação</t>
  </si>
  <si>
    <t xml:space="preserve">OPEX variável anual</t>
  </si>
  <si>
    <t xml:space="preserve">Planilha 2 · reserva do Azure SQL Database</t>
  </si>
  <si>
    <t xml:space="preserve">OPEX total anual</t>
  </si>
  <si>
    <t xml:space="preserve">Custo total do ano 1</t>
  </si>
  <si>
    <t xml:space="preserve">Custo variável por porta ao ano</t>
  </si>
  <si>
    <t xml:space="preserve">4. Parâmetros monetários pendentes</t>
  </si>
  <si>
    <t xml:space="preserve">Preencher quando a Motiva fornecer os dados. Os indicadores da seção 5 são calculados automaticamente.</t>
  </si>
  <si>
    <t xml:space="preserve">Custo médio de uma ordem ZM01 fechada</t>
  </si>
  <si>
    <t xml:space="preserve">Motiva · sistema de manutenção · peça + mão de obra</t>
  </si>
  <si>
    <t xml:space="preserve">Custo médio de uma ZM02/ZM03 equivalente</t>
  </si>
  <si>
    <t xml:space="preserve">Motiva · sistema de manutenção · intervenção programada</t>
  </si>
  <si>
    <t xml:space="preserve">Custo médio de indisponibilidade por falha</t>
  </si>
  <si>
    <t xml:space="preserve">Motiva · registro de penalidades por causa raiz</t>
  </si>
  <si>
    <t xml:space="preserve">E — Economia por falha evitada</t>
  </si>
  <si>
    <t xml:space="preserve">(ZM01 − ZM02/ZM03) + indisponibilidade. A subtração é essencial: se a peça é trocada</t>
  </si>
  <si>
    <t xml:space="preserve">nos dois regimes, a economia é o diferencial da intervenção, não o valor da peça.</t>
  </si>
  <si>
    <t xml:space="preserve">Cf — Custo de atender um alerta falso</t>
  </si>
  <si>
    <t xml:space="preserve">Motiva · tempo de verificação × custo-hora da equipe</t>
  </si>
  <si>
    <t xml:space="preserve">A — Taxa de troca efetiva</t>
  </si>
  <si>
    <t xml:space="preserve">% das previsões</t>
  </si>
  <si>
    <t xml:space="preserve">Proporção das previsões corretas que de fato evitam a ocorrência. Base: 100%</t>
  </si>
  <si>
    <t xml:space="preserve">5. Resultados — MC, ponto de equilíbrio, ROI e payback</t>
  </si>
  <si>
    <t xml:space="preserve">Falhas evitadas por ano</t>
  </si>
  <si>
    <t xml:space="preserve">Redução de falhas</t>
  </si>
  <si>
    <t xml:space="preserve">% do total</t>
  </si>
  <si>
    <t xml:space="preserve">Economia bruta anual</t>
  </si>
  <si>
    <t xml:space="preserve">R$/ano</t>
  </si>
  <si>
    <t xml:space="preserve">Custo anual dos alertas improdutivos</t>
  </si>
  <si>
    <t xml:space="preserve">Economia líquida anual</t>
  </si>
  <si>
    <t xml:space="preserve">Economia por porta ao ano</t>
  </si>
  <si>
    <t xml:space="preserve">R$/porta/ano</t>
  </si>
  <si>
    <t xml:space="preserve">Margem de contribuição unitária</t>
  </si>
  <si>
    <t xml:space="preserve">Índice de margem de contribuição</t>
  </si>
  <si>
    <t xml:space="preserve">%</t>
  </si>
  <si>
    <t xml:space="preserve">Ponto de equilíbrio em unidades</t>
  </si>
  <si>
    <t xml:space="preserve">Ponto de equilíbrio em valor</t>
  </si>
  <si>
    <t xml:space="preserve">R$</t>
  </si>
  <si>
    <t xml:space="preserve">Resultado operacional anual</t>
  </si>
  <si>
    <t xml:space="preserve">ROI do ano 1</t>
  </si>
  <si>
    <t xml:space="preserve">Payback</t>
  </si>
  <si>
    <t xml:space="preserve">anos</t>
  </si>
  <si>
    <t xml:space="preserve">Payback em meses</t>
  </si>
  <si>
    <t xml:space="preserve">meses</t>
  </si>
  <si>
    <t xml:space="preserve">ROI acumulado em 3 anos</t>
  </si>
  <si>
    <t xml:space="preserve">6. Limiar de viabilidade — independe dos parâmetros pendentes</t>
  </si>
  <si>
    <t xml:space="preserve">Estes dois valores são calculados apenas com os dados já disponíveis e respondem à pergunta inversa:</t>
  </si>
  <si>
    <t xml:space="preserve">quanto precisa valer evitar uma falha para o projeto se pagar.</t>
  </si>
  <si>
    <t xml:space="preserve">Economia mínima por falha — cobrir o ano 1</t>
  </si>
  <si>
    <t xml:space="preserve">R$/falha</t>
  </si>
  <si>
    <t xml:space="preserve">Economia mínima por falha — cobrir o ano 2 em diante</t>
  </si>
  <si>
    <t xml:space="preserve">Regra dos falsos positivos</t>
  </si>
  <si>
    <t xml:space="preserve">O projeto gera economia líquida enquanto E for maior que este múltiplo de Cf</t>
  </si>
  <si>
    <t xml:space="preserve">Simulação — comportamento do modelo sob hipóteses de E</t>
  </si>
  <si>
    <t xml:space="preserve">Nenhuma linha desta aba é projeção. O parâmetro E não é conhecido. Cada linha mostra o que o modelo produziria SE E assumisse o valor indicado.</t>
  </si>
  <si>
    <t xml:space="preserve">Cf considerado igual a zero nesta aba, conforme o cenário-base. A sensibilidade a Cf está na seção 2.</t>
  </si>
  <si>
    <t xml:space="preserve">1. Indicadores em função de E</t>
  </si>
  <si>
    <t xml:space="preserve">Hipótese de E (R$/falha)</t>
  </si>
  <si>
    <t xml:space="preserve">Economia anual</t>
  </si>
  <si>
    <t xml:space="preserve">Economia por porta</t>
  </si>
  <si>
    <t xml:space="preserve">MC unitária</t>
  </si>
  <si>
    <t xml:space="preserve">Ponto de equilíbrio (portas)</t>
  </si>
  <si>
    <t xml:space="preserve">Resultado anual</t>
  </si>
  <si>
    <t xml:space="preserve">ROI ano 1</t>
  </si>
  <si>
    <t xml:space="preserve">Payback (meses)</t>
  </si>
  <si>
    <t xml:space="preserve">O índice de margem de contribuição supera 98% em todas as faixas: o custo variável de R$ 2,84 por porta</t>
  </si>
  <si>
    <t xml:space="preserve">ao ano é desprezível diante de qualquer economia unitária plausível. É um projeto essencialmente de custo fixo.</t>
  </si>
  <si>
    <t xml:space="preserve">2. Sensibilidade ao custo dos alertas improdutivos (Cf)</t>
  </si>
  <si>
    <t xml:space="preserve">Assumindo E = R$ 1.000 por falha evitada. O projeto deixa de gerar economia líquida quando E &lt; 2,33 × Cf.</t>
  </si>
  <si>
    <t xml:space="preserve">Cf (R$/alerta)</t>
  </si>
  <si>
    <t xml:space="preserve">Economia bruta</t>
  </si>
  <si>
    <t xml:space="preserve">Custo dos falsos positivos</t>
  </si>
  <si>
    <t xml:space="preserve">Economia líquida</t>
  </si>
  <si>
    <t xml:space="preserve">Situação</t>
  </si>
  <si>
    <t xml:space="preserve">3. Sensibilidade à taxa de troca efetiva (A)</t>
  </si>
  <si>
    <t xml:space="preserve">Mede o impacto da incerteza sobre a substituição de peças: nem toda previsão correta evita a ocorrência.</t>
  </si>
  <si>
    <t xml:space="preserve">Taxa de troca efetiva</t>
  </si>
  <si>
    <t xml:space="preserve">Falhas evitadas/ano</t>
  </si>
  <si>
    <t xml:space="preserve">E mínimo — ano 1</t>
  </si>
  <si>
    <t xml:space="preserve">E mínimo — ano 2</t>
  </si>
  <si>
    <t xml:space="preserve">Mesmo no cenário mais pessimista, em que apenas uma em cada quatro previsões corretas evita de fato</t>
  </si>
  <si>
    <t xml:space="preserve">a falha, o limiar de viabilidade permanece baixo. A conclusão é robusta à incerteza sobre a troca de peças.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</si>
</sst>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%"/>
    <numFmt numFmtId="168" formatCode="&quot;R$ &quot;#,##0.00;&quot;(R$ &quot;#,##0.00\);\-"/>
    <numFmt numFmtId="169" formatCode="&quot;R$ &quot;#,##0;&quot;(R$ 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1B4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BE1E4"/>
        <bgColor rgb="FFF2F1F5"/>
      </patternFill>
    </fill>
    <fill>
      <patternFill patternType="solid">
        <fgColor rgb="FFFFF2A6"/>
        <bgColor rgb="FFFBE1E4"/>
      </patternFill>
    </fill>
    <fill>
      <patternFill patternType="solid">
        <fgColor rgb="FFF2F1F5"/>
        <bgColor rgb="FFFFFFFF"/>
      </patternFill>
    </fill>
    <fill>
      <patternFill patternType="solid">
        <fgColor rgb="FF241B42"/>
        <bgColor rgb="FF003366"/>
      </patternFill>
    </fill>
    <fill>
      <patternFill patternType="solid">
        <fgColor rgb="FF4A3F6B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1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BE1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A3F6B"/>
      <rgbColor rgb="FF241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3" t="s">
        <v>5</v>
      </c>
    </row>
    <row r="9" customFormat="false" ht="15" hidden="false" customHeight="false" outlineLevel="0" collapsed="false">
      <c r="A9" s="6" t="s">
        <v>6</v>
      </c>
      <c r="B9" s="6"/>
      <c r="C9" s="6"/>
      <c r="D9" s="6"/>
    </row>
    <row r="10" customFormat="false" ht="15" hidden="false" customHeight="false" outlineLevel="0" collapsed="false">
      <c r="A10" s="7" t="s">
        <v>7</v>
      </c>
      <c r="B10" s="8" t="n">
        <v>528</v>
      </c>
      <c r="C10" s="9" t="s">
        <v>8</v>
      </c>
      <c r="D10" s="2" t="s">
        <v>9</v>
      </c>
    </row>
    <row r="11" customFormat="false" ht="15" hidden="false" customHeight="false" outlineLevel="0" collapsed="false">
      <c r="A11" s="7" t="s">
        <v>10</v>
      </c>
      <c r="B11" s="8" t="n">
        <v>140</v>
      </c>
      <c r="C11" s="9" t="s">
        <v>11</v>
      </c>
      <c r="D11" s="2" t="s">
        <v>9</v>
      </c>
    </row>
    <row r="12" customFormat="false" ht="15" hidden="false" customHeight="false" outlineLevel="0" collapsed="false">
      <c r="A12" s="7" t="s">
        <v>12</v>
      </c>
      <c r="B12" s="10" t="n">
        <f aca="false">B11*12</f>
        <v>1680</v>
      </c>
      <c r="C12" s="9" t="s">
        <v>13</v>
      </c>
    </row>
    <row r="13" customFormat="false" ht="15" hidden="false" customHeight="false" outlineLevel="0" collapsed="false">
      <c r="A13" s="7" t="s">
        <v>14</v>
      </c>
      <c r="B13" s="11" t="n">
        <f aca="false">B12/B10</f>
        <v>3.18181818181818</v>
      </c>
      <c r="C13" s="9" t="s">
        <v>15</v>
      </c>
    </row>
    <row r="15" customFormat="false" ht="15" hidden="false" customHeight="false" outlineLevel="0" collapsed="false">
      <c r="A15" s="6" t="s">
        <v>16</v>
      </c>
      <c r="B15" s="6"/>
      <c r="C15" s="6"/>
      <c r="D15" s="6"/>
    </row>
    <row r="16" customFormat="false" ht="15" hidden="false" customHeight="false" outlineLevel="0" collapsed="false">
      <c r="A16" s="7" t="s">
        <v>17</v>
      </c>
      <c r="B16" s="12" t="n">
        <v>0.6</v>
      </c>
      <c r="C16" s="9" t="s">
        <v>18</v>
      </c>
      <c r="D16" s="2" t="s">
        <v>19</v>
      </c>
    </row>
    <row r="17" customFormat="false" ht="15" hidden="false" customHeight="false" outlineLevel="0" collapsed="false">
      <c r="A17" s="7" t="s">
        <v>20</v>
      </c>
      <c r="B17" s="12" t="n">
        <v>0.3</v>
      </c>
      <c r="C17" s="9" t="s">
        <v>21</v>
      </c>
      <c r="D17" s="2" t="s">
        <v>19</v>
      </c>
    </row>
    <row r="18" customFormat="false" ht="15" hidden="false" customHeight="false" outlineLevel="0" collapsed="false">
      <c r="A18" s="7" t="s">
        <v>22</v>
      </c>
      <c r="B18" s="10" t="n">
        <f aca="false">B12*B16</f>
        <v>1008</v>
      </c>
      <c r="C18" s="9" t="s">
        <v>13</v>
      </c>
    </row>
    <row r="19" customFormat="false" ht="15" hidden="false" customHeight="false" outlineLevel="0" collapsed="false">
      <c r="A19" s="7" t="s">
        <v>23</v>
      </c>
      <c r="B19" s="10" t="n">
        <f aca="false">B18/B17</f>
        <v>3360</v>
      </c>
      <c r="C19" s="9" t="s">
        <v>24</v>
      </c>
    </row>
    <row r="20" customFormat="false" ht="15" hidden="false" customHeight="false" outlineLevel="0" collapsed="false">
      <c r="A20" s="7" t="s">
        <v>25</v>
      </c>
      <c r="B20" s="10" t="n">
        <f aca="false">B19-B18</f>
        <v>2352</v>
      </c>
      <c r="C20" s="9" t="s">
        <v>24</v>
      </c>
    </row>
    <row r="21" customFormat="false" ht="15" hidden="false" customHeight="false" outlineLevel="0" collapsed="false">
      <c r="A21" s="7" t="s">
        <v>26</v>
      </c>
      <c r="B21" s="11" t="n">
        <f aca="false">B20/252</f>
        <v>9.33333333333333</v>
      </c>
      <c r="C21" s="9" t="s">
        <v>27</v>
      </c>
    </row>
    <row r="22" customFormat="false" ht="15" hidden="false" customHeight="false" outlineLevel="0" collapsed="false">
      <c r="A22" s="7" t="s">
        <v>28</v>
      </c>
      <c r="B22" s="11" t="n">
        <f aca="false">B20/B18</f>
        <v>2.33333333333333</v>
      </c>
      <c r="C22" s="9" t="s">
        <v>29</v>
      </c>
    </row>
    <row r="23" customFormat="false" ht="15" hidden="false" customHeight="false" outlineLevel="0" collapsed="false">
      <c r="A23" s="7" t="s">
        <v>30</v>
      </c>
      <c r="B23" s="10" t="n">
        <f aca="false">B12-B18</f>
        <v>672</v>
      </c>
      <c r="C23" s="9" t="s">
        <v>13</v>
      </c>
    </row>
    <row r="25" customFormat="false" ht="15" hidden="false" customHeight="false" outlineLevel="0" collapsed="false">
      <c r="A25" s="6" t="s">
        <v>31</v>
      </c>
      <c r="B25" s="6"/>
      <c r="C25" s="6"/>
      <c r="D25" s="6"/>
    </row>
    <row r="26" customFormat="false" ht="15" hidden="false" customHeight="false" outlineLevel="0" collapsed="false">
      <c r="A26" s="7" t="s">
        <v>32</v>
      </c>
      <c r="B26" s="13" t="n">
        <v>18000</v>
      </c>
      <c r="D26" s="2" t="s">
        <v>33</v>
      </c>
    </row>
    <row r="27" customFormat="false" ht="15" hidden="false" customHeight="false" outlineLevel="0" collapsed="false">
      <c r="A27" s="7" t="s">
        <v>34</v>
      </c>
      <c r="B27" s="13" t="n">
        <v>11015.1</v>
      </c>
      <c r="D27" s="2" t="s">
        <v>35</v>
      </c>
    </row>
    <row r="28" customFormat="false" ht="15" hidden="false" customHeight="false" outlineLevel="0" collapsed="false">
      <c r="A28" s="7" t="s">
        <v>36</v>
      </c>
      <c r="B28" s="13" t="n">
        <v>1500</v>
      </c>
      <c r="D28" s="2" t="s">
        <v>37</v>
      </c>
    </row>
    <row r="29" customFormat="false" ht="15" hidden="false" customHeight="false" outlineLevel="0" collapsed="false">
      <c r="A29" s="7" t="s">
        <v>38</v>
      </c>
      <c r="B29" s="14" t="n">
        <f aca="false">B27+B28</f>
        <v>12515.1</v>
      </c>
    </row>
    <row r="30" customFormat="false" ht="15" hidden="false" customHeight="false" outlineLevel="0" collapsed="false">
      <c r="A30" s="15" t="s">
        <v>39</v>
      </c>
      <c r="B30" s="16" t="n">
        <f aca="false">B26+B29</f>
        <v>30515.1</v>
      </c>
    </row>
    <row r="31" customFormat="false" ht="15" hidden="false" customHeight="false" outlineLevel="0" collapsed="false">
      <c r="A31" s="7" t="s">
        <v>40</v>
      </c>
      <c r="B31" s="14" t="n">
        <f aca="false">B28/B10</f>
        <v>2.84090909090909</v>
      </c>
    </row>
    <row r="33" customFormat="false" ht="15" hidden="false" customHeight="false" outlineLevel="0" collapsed="false">
      <c r="A33" s="6" t="s">
        <v>41</v>
      </c>
      <c r="B33" s="6"/>
      <c r="C33" s="6"/>
      <c r="D33" s="6"/>
    </row>
    <row r="34" customFormat="false" ht="15" hidden="false" customHeight="false" outlineLevel="0" collapsed="false">
      <c r="A34" s="2" t="s">
        <v>42</v>
      </c>
    </row>
    <row r="35" customFormat="false" ht="15" hidden="false" customHeight="false" outlineLevel="0" collapsed="false">
      <c r="A35" s="7" t="s">
        <v>43</v>
      </c>
      <c r="B35" s="17"/>
      <c r="D35" s="2" t="s">
        <v>44</v>
      </c>
    </row>
    <row r="36" customFormat="false" ht="15" hidden="false" customHeight="false" outlineLevel="0" collapsed="false">
      <c r="A36" s="7" t="s">
        <v>45</v>
      </c>
      <c r="B36" s="17"/>
      <c r="D36" s="2" t="s">
        <v>46</v>
      </c>
    </row>
    <row r="37" customFormat="false" ht="15" hidden="false" customHeight="false" outlineLevel="0" collapsed="false">
      <c r="A37" s="7" t="s">
        <v>47</v>
      </c>
      <c r="B37" s="17"/>
      <c r="D37" s="2" t="s">
        <v>48</v>
      </c>
    </row>
    <row r="38" customFormat="false" ht="15" hidden="false" customHeight="false" outlineLevel="0" collapsed="false">
      <c r="A38" s="15" t="s">
        <v>49</v>
      </c>
      <c r="B38" s="16" t="str">
        <f aca="false">IF(COUNT(B35:B37)&lt;3,"",(B35-B36)+B37)</f>
        <v/>
      </c>
      <c r="D38" s="2" t="s">
        <v>50</v>
      </c>
    </row>
    <row r="39" customFormat="false" ht="15" hidden="false" customHeight="false" outlineLevel="0" collapsed="false">
      <c r="D39" s="2" t="s">
        <v>51</v>
      </c>
    </row>
    <row r="40" customFormat="false" ht="15" hidden="false" customHeight="false" outlineLevel="0" collapsed="false">
      <c r="A40" s="7" t="s">
        <v>52</v>
      </c>
      <c r="B40" s="17"/>
      <c r="D40" s="2" t="s">
        <v>53</v>
      </c>
    </row>
    <row r="41" customFormat="false" ht="15" hidden="false" customHeight="false" outlineLevel="0" collapsed="false">
      <c r="A41" s="7" t="s">
        <v>54</v>
      </c>
      <c r="B41" s="12" t="n">
        <v>1</v>
      </c>
      <c r="C41" s="9" t="s">
        <v>55</v>
      </c>
      <c r="D41" s="2" t="s">
        <v>56</v>
      </c>
    </row>
    <row r="43" customFormat="false" ht="15" hidden="false" customHeight="false" outlineLevel="0" collapsed="false">
      <c r="A43" s="6" t="s">
        <v>57</v>
      </c>
      <c r="B43" s="6"/>
      <c r="C43" s="6"/>
      <c r="D43" s="6"/>
    </row>
    <row r="44" customFormat="false" ht="15" hidden="false" customHeight="false" outlineLevel="0" collapsed="false">
      <c r="A44" s="7" t="s">
        <v>58</v>
      </c>
      <c r="B44" s="10" t="n">
        <f aca="false">B18*B41</f>
        <v>1008</v>
      </c>
      <c r="C44" s="9" t="s">
        <v>13</v>
      </c>
    </row>
    <row r="45" customFormat="false" ht="15" hidden="false" customHeight="false" outlineLevel="0" collapsed="false">
      <c r="A45" s="7" t="s">
        <v>59</v>
      </c>
      <c r="B45" s="18" t="n">
        <f aca="false">B44/B12</f>
        <v>0.6</v>
      </c>
      <c r="C45" s="9" t="s">
        <v>60</v>
      </c>
    </row>
    <row r="46" customFormat="false" ht="15" hidden="false" customHeight="false" outlineLevel="0" collapsed="false">
      <c r="A46" s="7" t="s">
        <v>61</v>
      </c>
      <c r="B46" s="14" t="str">
        <f aca="false">IF($B$38="","",B44*$B$38)</f>
        <v/>
      </c>
      <c r="C46" s="9" t="s">
        <v>62</v>
      </c>
    </row>
    <row r="47" customFormat="false" ht="15" hidden="false" customHeight="false" outlineLevel="0" collapsed="false">
      <c r="A47" s="7" t="s">
        <v>63</v>
      </c>
      <c r="B47" s="14" t="str">
        <f aca="false">IF($B$38="","",B20*N(B40))</f>
        <v/>
      </c>
      <c r="C47" s="9" t="s">
        <v>62</v>
      </c>
    </row>
    <row r="48" customFormat="false" ht="15" hidden="false" customHeight="false" outlineLevel="0" collapsed="false">
      <c r="A48" s="7" t="s">
        <v>64</v>
      </c>
      <c r="B48" s="14" t="str">
        <f aca="false">IF($B$38="","",B46-B47)</f>
        <v/>
      </c>
      <c r="C48" s="9" t="s">
        <v>62</v>
      </c>
    </row>
    <row r="49" customFormat="false" ht="15" hidden="false" customHeight="false" outlineLevel="0" collapsed="false">
      <c r="A49" s="7" t="s">
        <v>65</v>
      </c>
      <c r="B49" s="14" t="str">
        <f aca="false">IF($B$38="","",B48/B10)</f>
        <v/>
      </c>
      <c r="C49" s="9" t="s">
        <v>66</v>
      </c>
    </row>
    <row r="50" customFormat="false" ht="15" hidden="false" customHeight="false" outlineLevel="0" collapsed="false">
      <c r="A50" s="7" t="s">
        <v>67</v>
      </c>
      <c r="B50" s="14" t="str">
        <f aca="false">IF($B$38="","",B49-B31)</f>
        <v/>
      </c>
      <c r="C50" s="9" t="s">
        <v>66</v>
      </c>
    </row>
    <row r="51" customFormat="false" ht="15" hidden="false" customHeight="false" outlineLevel="0" collapsed="false">
      <c r="A51" s="7" t="s">
        <v>68</v>
      </c>
      <c r="B51" s="18" t="str">
        <f aca="false">IF(OR($B$38="",B49=0),"",B50/B49)</f>
        <v/>
      </c>
      <c r="C51" s="9" t="s">
        <v>69</v>
      </c>
    </row>
    <row r="52" customFormat="false" ht="15" hidden="false" customHeight="false" outlineLevel="0" collapsed="false">
      <c r="A52" s="7" t="s">
        <v>70</v>
      </c>
      <c r="B52" s="11" t="str">
        <f aca="false">IF(OR($B$38="",B50&lt;=0),"",B27/B50)</f>
        <v/>
      </c>
      <c r="C52" s="9" t="s">
        <v>8</v>
      </c>
    </row>
    <row r="53" customFormat="false" ht="15" hidden="false" customHeight="false" outlineLevel="0" collapsed="false">
      <c r="A53" s="7" t="s">
        <v>71</v>
      </c>
      <c r="B53" s="14" t="str">
        <f aca="false">IF(OR($B$38="",B51&lt;=0),"",B27/B51)</f>
        <v/>
      </c>
      <c r="C53" s="9" t="s">
        <v>72</v>
      </c>
    </row>
    <row r="54" customFormat="false" ht="15" hidden="false" customHeight="false" outlineLevel="0" collapsed="false">
      <c r="A54" s="7" t="s">
        <v>73</v>
      </c>
      <c r="B54" s="14" t="str">
        <f aca="false">IF($B$38="","",B48-B29)</f>
        <v/>
      </c>
      <c r="C54" s="9" t="s">
        <v>62</v>
      </c>
    </row>
    <row r="55" customFormat="false" ht="15" hidden="false" customHeight="false" outlineLevel="0" collapsed="false">
      <c r="A55" s="7" t="s">
        <v>74</v>
      </c>
      <c r="B55" s="18" t="str">
        <f aca="false">IF($B$38="","",(B54-B26)/B26)</f>
        <v/>
      </c>
      <c r="C55" s="9" t="s">
        <v>69</v>
      </c>
    </row>
    <row r="56" customFormat="false" ht="15" hidden="false" customHeight="false" outlineLevel="0" collapsed="false">
      <c r="A56" s="7" t="s">
        <v>75</v>
      </c>
      <c r="B56" s="11" t="str">
        <f aca="false">IF(OR($B$38="",B54&lt;=0),"",B26/B54)</f>
        <v/>
      </c>
      <c r="C56" s="9" t="s">
        <v>76</v>
      </c>
    </row>
    <row r="57" customFormat="false" ht="15" hidden="false" customHeight="false" outlineLevel="0" collapsed="false">
      <c r="A57" s="7" t="s">
        <v>77</v>
      </c>
      <c r="B57" s="11" t="str">
        <f aca="false">IF(OR($B$38="",B54&lt;=0),"",B26/B54*12)</f>
        <v/>
      </c>
      <c r="C57" s="9" t="s">
        <v>78</v>
      </c>
    </row>
    <row r="58" customFormat="false" ht="15" hidden="false" customHeight="false" outlineLevel="0" collapsed="false">
      <c r="A58" s="7" t="s">
        <v>79</v>
      </c>
      <c r="B58" s="18" t="str">
        <f aca="false">IF($B$38="","",(3*B54-B26)/B26)</f>
        <v/>
      </c>
      <c r="C58" s="9" t="s">
        <v>69</v>
      </c>
    </row>
    <row r="60" customFormat="false" ht="15" hidden="false" customHeight="false" outlineLevel="0" collapsed="false">
      <c r="A60" s="6" t="s">
        <v>80</v>
      </c>
      <c r="B60" s="6"/>
      <c r="C60" s="6"/>
      <c r="D60" s="6"/>
    </row>
    <row r="61" customFormat="false" ht="15" hidden="false" customHeight="false" outlineLevel="0" collapsed="false">
      <c r="A61" s="2" t="s">
        <v>81</v>
      </c>
    </row>
    <row r="62" customFormat="false" ht="15" hidden="false" customHeight="false" outlineLevel="0" collapsed="false">
      <c r="A62" s="2" t="s">
        <v>82</v>
      </c>
    </row>
    <row r="63" customFormat="false" ht="15" hidden="false" customHeight="false" outlineLevel="0" collapsed="false">
      <c r="A63" s="15" t="s">
        <v>83</v>
      </c>
      <c r="B63" s="16" t="n">
        <f aca="false">B30/B44</f>
        <v>30.2729166666667</v>
      </c>
      <c r="C63" s="9" t="s">
        <v>84</v>
      </c>
    </row>
    <row r="64" customFormat="false" ht="15" hidden="false" customHeight="false" outlineLevel="0" collapsed="false">
      <c r="A64" s="15" t="s">
        <v>85</v>
      </c>
      <c r="B64" s="16" t="n">
        <f aca="false">B29/B44</f>
        <v>12.4157738095238</v>
      </c>
      <c r="C64" s="9" t="s">
        <v>84</v>
      </c>
    </row>
    <row r="66" customFormat="false" ht="15" hidden="false" customHeight="false" outlineLevel="0" collapsed="false">
      <c r="A66" s="15" t="s">
        <v>86</v>
      </c>
      <c r="B66" s="19" t="n">
        <f aca="false">B22</f>
        <v>2.33333333333333</v>
      </c>
      <c r="D66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  <col collapsed="false" customWidth="true" hidden="false" outlineLevel="0" max="8" min="6" style="0" width="16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3" t="s">
        <v>89</v>
      </c>
    </row>
    <row r="3" customFormat="false" ht="15" hidden="false" customHeight="false" outlineLevel="0" collapsed="false">
      <c r="A3" s="2" t="s">
        <v>90</v>
      </c>
    </row>
    <row r="5" customFormat="false" ht="15" hidden="false" customHeight="false" outlineLevel="0" collapsed="false">
      <c r="A5" s="6" t="s">
        <v>91</v>
      </c>
      <c r="B5" s="6"/>
      <c r="C5" s="6"/>
      <c r="D5" s="6"/>
      <c r="E5" s="6"/>
      <c r="F5" s="6"/>
      <c r="G5" s="6"/>
      <c r="H5" s="6"/>
    </row>
    <row r="6" customFormat="false" ht="23.85" hidden="false" customHeight="false" outlineLevel="0" collapsed="false">
      <c r="A6" s="20" t="s">
        <v>92</v>
      </c>
      <c r="B6" s="20" t="s">
        <v>93</v>
      </c>
      <c r="C6" s="20" t="s">
        <v>94</v>
      </c>
      <c r="D6" s="20" t="s">
        <v>95</v>
      </c>
      <c r="E6" s="20" t="s">
        <v>96</v>
      </c>
      <c r="F6" s="20" t="s">
        <v>97</v>
      </c>
      <c r="G6" s="20" t="s">
        <v>98</v>
      </c>
      <c r="H6" s="20" t="s">
        <v>99</v>
      </c>
    </row>
    <row r="7" customFormat="false" ht="15" hidden="false" customHeight="false" outlineLevel="0" collapsed="false">
      <c r="A7" s="21" t="n">
        <v>100</v>
      </c>
      <c r="B7" s="14" t="n">
        <f aca="false">A7*Modelo!$B$44</f>
        <v>100800</v>
      </c>
      <c r="C7" s="14" t="n">
        <f aca="false">B7/Modelo!$B$10</f>
        <v>190.909090909091</v>
      </c>
      <c r="D7" s="14" t="n">
        <f aca="false">C7-Modelo!$B$31</f>
        <v>188.068181818182</v>
      </c>
      <c r="E7" s="11" t="n">
        <f aca="false">Modelo!$B$27/D7</f>
        <v>58.5697160120846</v>
      </c>
      <c r="F7" s="14" t="n">
        <f aca="false">B7-Modelo!$B$29</f>
        <v>88284.9</v>
      </c>
      <c r="G7" s="18" t="n">
        <f aca="false">(F7-Modelo!$B$26)/Modelo!$B$26</f>
        <v>3.90471666666667</v>
      </c>
      <c r="H7" s="11" t="n">
        <f aca="false">Modelo!$B$26/F7*12</f>
        <v>2.44662450770177</v>
      </c>
    </row>
    <row r="8" customFormat="false" ht="15" hidden="false" customHeight="false" outlineLevel="0" collapsed="false">
      <c r="A8" s="21" t="n">
        <v>300</v>
      </c>
      <c r="B8" s="14" t="n">
        <f aca="false">A8*Modelo!$B$44</f>
        <v>302400</v>
      </c>
      <c r="C8" s="14" t="n">
        <f aca="false">B8/Modelo!$B$10</f>
        <v>572.727272727273</v>
      </c>
      <c r="D8" s="14" t="n">
        <f aca="false">C8-Modelo!$B$31</f>
        <v>569.886363636364</v>
      </c>
      <c r="E8" s="11" t="n">
        <f aca="false">Modelo!$B$27/D8</f>
        <v>19.3285902293121</v>
      </c>
      <c r="F8" s="14" t="n">
        <f aca="false">B8-Modelo!$B$29</f>
        <v>289884.9</v>
      </c>
      <c r="G8" s="18" t="n">
        <f aca="false">(F8-Modelo!$B$26)/Modelo!$B$26</f>
        <v>15.1047166666667</v>
      </c>
      <c r="H8" s="11" t="n">
        <f aca="false">Modelo!$B$26/F8*12</f>
        <v>0.745123323084438</v>
      </c>
    </row>
    <row r="9" customFormat="false" ht="15" hidden="false" customHeight="false" outlineLevel="0" collapsed="false">
      <c r="A9" s="21" t="n">
        <v>500</v>
      </c>
      <c r="B9" s="14" t="n">
        <f aca="false">A9*Modelo!$B$44</f>
        <v>504000</v>
      </c>
      <c r="C9" s="14" t="n">
        <f aca="false">B9/Modelo!$B$10</f>
        <v>954.545454545455</v>
      </c>
      <c r="D9" s="14" t="n">
        <f aca="false">C9-Modelo!$B$31</f>
        <v>951.704545454545</v>
      </c>
      <c r="E9" s="11" t="n">
        <f aca="false">Modelo!$B$27/D9</f>
        <v>11.5740752238806</v>
      </c>
      <c r="F9" s="14" t="n">
        <f aca="false">B9-Modelo!$B$29</f>
        <v>491484.9</v>
      </c>
      <c r="G9" s="18" t="n">
        <f aca="false">(F9-Modelo!$B$26)/Modelo!$B$26</f>
        <v>26.3047166666667</v>
      </c>
      <c r="H9" s="11" t="n">
        <f aca="false">Modelo!$B$26/F9*12</f>
        <v>0.439484509086647</v>
      </c>
    </row>
    <row r="10" customFormat="false" ht="15" hidden="false" customHeight="false" outlineLevel="0" collapsed="false">
      <c r="A10" s="21" t="n">
        <v>1000</v>
      </c>
      <c r="B10" s="14" t="n">
        <f aca="false">A10*Modelo!$B$44</f>
        <v>1008000</v>
      </c>
      <c r="C10" s="14" t="n">
        <f aca="false">B10/Modelo!$B$10</f>
        <v>1909.09090909091</v>
      </c>
      <c r="D10" s="14" t="n">
        <f aca="false">C10-Modelo!$B$31</f>
        <v>1906.25</v>
      </c>
      <c r="E10" s="11" t="n">
        <f aca="false">Modelo!$B$27/D10</f>
        <v>5.7784131147541</v>
      </c>
      <c r="F10" s="14" t="n">
        <f aca="false">B10-Modelo!$B$29</f>
        <v>995484.9</v>
      </c>
      <c r="G10" s="18" t="n">
        <f aca="false">(F10-Modelo!$B$26)/Modelo!$B$26</f>
        <v>54.3047166666667</v>
      </c>
      <c r="H10" s="11" t="n">
        <f aca="false">Modelo!$B$26/F10*12</f>
        <v>0.216979684975633</v>
      </c>
    </row>
    <row r="11" customFormat="false" ht="15" hidden="false" customHeight="false" outlineLevel="0" collapsed="false">
      <c r="A11" s="21" t="n">
        <v>2000</v>
      </c>
      <c r="B11" s="14" t="n">
        <f aca="false">A11*Modelo!$B$44</f>
        <v>2016000</v>
      </c>
      <c r="C11" s="14" t="n">
        <f aca="false">B11/Modelo!$B$10</f>
        <v>3818.18181818182</v>
      </c>
      <c r="D11" s="14" t="n">
        <f aca="false">C11-Modelo!$B$31</f>
        <v>3815.34090909091</v>
      </c>
      <c r="E11" s="11" t="n">
        <f aca="false">Modelo!$B$27/D11</f>
        <v>2.88705524944155</v>
      </c>
      <c r="F11" s="14" t="n">
        <f aca="false">B11-Modelo!$B$29</f>
        <v>2003484.9</v>
      </c>
      <c r="G11" s="18" t="n">
        <f aca="false">(F11-Modelo!$B$26)/Modelo!$B$26</f>
        <v>110.304716666667</v>
      </c>
      <c r="H11" s="11" t="n">
        <f aca="false">Modelo!$B$26/F11*12</f>
        <v>0.107812142731897</v>
      </c>
    </row>
    <row r="13" customFormat="false" ht="15" hidden="false" customHeight="false" outlineLevel="0" collapsed="false">
      <c r="A13" s="2" t="s">
        <v>100</v>
      </c>
    </row>
    <row r="14" customFormat="false" ht="15" hidden="false" customHeight="false" outlineLevel="0" collapsed="false">
      <c r="A14" s="2" t="s">
        <v>101</v>
      </c>
    </row>
    <row r="16" customFormat="false" ht="15" hidden="false" customHeight="false" outlineLevel="0" collapsed="false">
      <c r="A16" s="6" t="s">
        <v>102</v>
      </c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2" t="s">
        <v>103</v>
      </c>
    </row>
    <row r="18" customFormat="false" ht="23.85" hidden="false" customHeight="false" outlineLevel="0" collapsed="false">
      <c r="A18" s="20" t="s">
        <v>104</v>
      </c>
      <c r="B18" s="20" t="s">
        <v>105</v>
      </c>
      <c r="C18" s="20" t="s">
        <v>106</v>
      </c>
      <c r="D18" s="20" t="s">
        <v>107</v>
      </c>
      <c r="E18" s="20" t="s">
        <v>97</v>
      </c>
      <c r="F18" s="20" t="s">
        <v>108</v>
      </c>
      <c r="G18" s="20"/>
      <c r="H18" s="20"/>
    </row>
    <row r="19" customFormat="false" ht="15" hidden="false" customHeight="false" outlineLevel="0" collapsed="false">
      <c r="A19" s="21" t="n">
        <v>0</v>
      </c>
      <c r="B19" s="14" t="n">
        <f aca="false">1000*Modelo!$B$44</f>
        <v>1008000</v>
      </c>
      <c r="C19" s="14" t="n">
        <f aca="false">A19*Modelo!$B$20</f>
        <v>0</v>
      </c>
      <c r="D19" s="14" t="n">
        <f aca="false">B19-C19</f>
        <v>1008000</v>
      </c>
      <c r="E19" s="14" t="n">
        <f aca="false">D19-Modelo!$B$29</f>
        <v>995484.9</v>
      </c>
      <c r="F19" s="22" t="str">
        <f aca="false">IF(E19&gt;0,"Viável","Inviável")</f>
        <v>Viável</v>
      </c>
    </row>
    <row r="20" customFormat="false" ht="15" hidden="false" customHeight="false" outlineLevel="0" collapsed="false">
      <c r="A20" s="21" t="n">
        <v>100</v>
      </c>
      <c r="B20" s="14" t="n">
        <f aca="false">1000*Modelo!$B$44</f>
        <v>1008000</v>
      </c>
      <c r="C20" s="14" t="n">
        <f aca="false">A20*Modelo!$B$20</f>
        <v>235200</v>
      </c>
      <c r="D20" s="14" t="n">
        <f aca="false">B20-C20</f>
        <v>772800</v>
      </c>
      <c r="E20" s="14" t="n">
        <f aca="false">D20-Modelo!$B$29</f>
        <v>760284.9</v>
      </c>
      <c r="F20" s="22" t="str">
        <f aca="false">IF(E20&gt;0,"Viável","Inviável")</f>
        <v>Viável</v>
      </c>
    </row>
    <row r="21" customFormat="false" ht="15" hidden="false" customHeight="false" outlineLevel="0" collapsed="false">
      <c r="A21" s="21" t="n">
        <v>200</v>
      </c>
      <c r="B21" s="14" t="n">
        <f aca="false">1000*Modelo!$B$44</f>
        <v>1008000</v>
      </c>
      <c r="C21" s="14" t="n">
        <f aca="false">A21*Modelo!$B$20</f>
        <v>470400</v>
      </c>
      <c r="D21" s="14" t="n">
        <f aca="false">B21-C21</f>
        <v>537600</v>
      </c>
      <c r="E21" s="14" t="n">
        <f aca="false">D21-Modelo!$B$29</f>
        <v>525084.9</v>
      </c>
      <c r="F21" s="22" t="str">
        <f aca="false">IF(E21&gt;0,"Viável","Inviável")</f>
        <v>Viável</v>
      </c>
    </row>
    <row r="22" customFormat="false" ht="15" hidden="false" customHeight="false" outlineLevel="0" collapsed="false">
      <c r="A22" s="21" t="n">
        <v>300</v>
      </c>
      <c r="B22" s="14" t="n">
        <f aca="false">1000*Modelo!$B$44</f>
        <v>1008000</v>
      </c>
      <c r="C22" s="14" t="n">
        <f aca="false">A22*Modelo!$B$20</f>
        <v>705600</v>
      </c>
      <c r="D22" s="14" t="n">
        <f aca="false">B22-C22</f>
        <v>302400</v>
      </c>
      <c r="E22" s="14" t="n">
        <f aca="false">D22-Modelo!$B$29</f>
        <v>289884.9</v>
      </c>
      <c r="F22" s="22" t="str">
        <f aca="false">IF(E22&gt;0,"Viável","Inviável")</f>
        <v>Viável</v>
      </c>
    </row>
    <row r="23" customFormat="false" ht="15" hidden="false" customHeight="false" outlineLevel="0" collapsed="false">
      <c r="A23" s="21" t="n">
        <v>429</v>
      </c>
      <c r="B23" s="14" t="n">
        <f aca="false">1000*Modelo!$B$44</f>
        <v>1008000</v>
      </c>
      <c r="C23" s="14" t="n">
        <f aca="false">A23*Modelo!$B$20</f>
        <v>1009008</v>
      </c>
      <c r="D23" s="14" t="n">
        <f aca="false">B23-C23</f>
        <v>-1008</v>
      </c>
      <c r="E23" s="14" t="n">
        <f aca="false">D23-Modelo!$B$29</f>
        <v>-13523.1</v>
      </c>
      <c r="F23" s="22" t="str">
        <f aca="false">IF(E23&gt;0,"Viável","Inviável")</f>
        <v>Inviável</v>
      </c>
    </row>
    <row r="24" customFormat="false" ht="15" hidden="false" customHeight="false" outlineLevel="0" collapsed="false">
      <c r="A24" s="21" t="n">
        <v>500</v>
      </c>
      <c r="B24" s="14" t="n">
        <f aca="false">1000*Modelo!$B$44</f>
        <v>1008000</v>
      </c>
      <c r="C24" s="14" t="n">
        <f aca="false">A24*Modelo!$B$20</f>
        <v>1176000</v>
      </c>
      <c r="D24" s="14" t="n">
        <f aca="false">B24-C24</f>
        <v>-168000</v>
      </c>
      <c r="E24" s="14" t="n">
        <f aca="false">D24-Modelo!$B$29</f>
        <v>-180515.1</v>
      </c>
      <c r="F24" s="22" t="str">
        <f aca="false">IF(E24&gt;0,"Viável","Inviável")</f>
        <v>Inviável</v>
      </c>
    </row>
    <row r="26" customFormat="false" ht="15" hidden="false" customHeight="false" outlineLevel="0" collapsed="false">
      <c r="A26" s="6" t="s">
        <v>109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2" t="s">
        <v>110</v>
      </c>
    </row>
    <row r="28" customFormat="false" ht="15" hidden="false" customHeight="false" outlineLevel="0" collapsed="false">
      <c r="A28" s="20" t="s">
        <v>111</v>
      </c>
      <c r="B28" s="20" t="s">
        <v>112</v>
      </c>
      <c r="C28" s="20" t="s">
        <v>59</v>
      </c>
      <c r="D28" s="20" t="s">
        <v>113</v>
      </c>
      <c r="E28" s="20" t="s">
        <v>114</v>
      </c>
      <c r="F28" s="20"/>
      <c r="G28" s="20"/>
      <c r="H28" s="20"/>
    </row>
    <row r="29" customFormat="false" ht="15" hidden="false" customHeight="false" outlineLevel="0" collapsed="false">
      <c r="A29" s="12" t="n">
        <v>0.25</v>
      </c>
      <c r="B29" s="11" t="n">
        <f aca="false">Modelo!$B$18*A29</f>
        <v>252</v>
      </c>
      <c r="C29" s="18" t="n">
        <f aca="false">B29/Modelo!$B$12</f>
        <v>0.15</v>
      </c>
      <c r="D29" s="14" t="n">
        <f aca="false">Modelo!$B$30/B29</f>
        <v>121.091666666667</v>
      </c>
      <c r="E29" s="14" t="n">
        <f aca="false">Modelo!$B$29/B29</f>
        <v>49.6630952380952</v>
      </c>
    </row>
    <row r="30" customFormat="false" ht="15" hidden="false" customHeight="false" outlineLevel="0" collapsed="false">
      <c r="A30" s="12" t="n">
        <v>0.5</v>
      </c>
      <c r="B30" s="11" t="n">
        <f aca="false">Modelo!$B$18*A30</f>
        <v>504</v>
      </c>
      <c r="C30" s="18" t="n">
        <f aca="false">B30/Modelo!$B$12</f>
        <v>0.3</v>
      </c>
      <c r="D30" s="14" t="n">
        <f aca="false">Modelo!$B$30/B30</f>
        <v>60.5458333333333</v>
      </c>
      <c r="E30" s="14" t="n">
        <f aca="false">Modelo!$B$29/B30</f>
        <v>24.8315476190476</v>
      </c>
    </row>
    <row r="31" customFormat="false" ht="15" hidden="false" customHeight="false" outlineLevel="0" collapsed="false">
      <c r="A31" s="12" t="n">
        <v>0.75</v>
      </c>
      <c r="B31" s="11" t="n">
        <f aca="false">Modelo!$B$18*A31</f>
        <v>756</v>
      </c>
      <c r="C31" s="18" t="n">
        <f aca="false">B31/Modelo!$B$12</f>
        <v>0.45</v>
      </c>
      <c r="D31" s="14" t="n">
        <f aca="false">Modelo!$B$30/B31</f>
        <v>40.3638888888889</v>
      </c>
      <c r="E31" s="14" t="n">
        <f aca="false">Modelo!$B$29/B31</f>
        <v>16.5543650793651</v>
      </c>
    </row>
    <row r="32" customFormat="false" ht="15" hidden="false" customHeight="false" outlineLevel="0" collapsed="false">
      <c r="A32" s="12" t="n">
        <v>1</v>
      </c>
      <c r="B32" s="11" t="n">
        <f aca="false">Modelo!$B$18*A32</f>
        <v>1008</v>
      </c>
      <c r="C32" s="18" t="n">
        <f aca="false">B32/Modelo!$B$12</f>
        <v>0.6</v>
      </c>
      <c r="D32" s="14" t="n">
        <f aca="false">Modelo!$B$30/B32</f>
        <v>30.2729166666667</v>
      </c>
      <c r="E32" s="14" t="n">
        <f aca="false">Modelo!$B$29/B32</f>
        <v>12.4157738095238</v>
      </c>
    </row>
    <row r="34" customFormat="false" ht="15" hidden="false" customHeight="false" outlineLevel="0" collapsed="false">
      <c r="A34" s="2" t="s">
        <v>115</v>
      </c>
    </row>
    <row r="35" customFormat="false" ht="15" hidden="false" customHeight="false" outlineLevel="0" collapsed="false">
      <c r="A35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2026-09-10T20:50:35Z</dcterms:created>
  <dc:creator>openpyxl</dc:creator>
  <dc:description/>
  <dc:language>en-US</dc:language>
  <cp:lastModifiedBy/>
  <dcterms:modified xsi:type="dcterms:W3CDTF">2026-09-10T20:50:36Z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